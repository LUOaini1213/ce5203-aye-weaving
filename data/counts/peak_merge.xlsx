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24226"/>
  <xr:revisionPtr revIDLastSave="216" documentId="11_D4A6D9F17832D5F728715024585F89DA35C9A2F8" xr6:coauthVersionLast="47" xr6:coauthVersionMax="47" xr10:uidLastSave="{44E40A80-002A-4F6D-952C-1F30C73F7F68}"/>
  <bookViews>
    <workbookView xWindow="660" yWindow="645" windowWidth="20813" windowHeight="7928" xr2:uid="{00000000-000D-0000-FFFF-FFFF00000000}"/>
  </bookViews>
  <sheets>
    <sheet name="Results" sheetId="3" r:id="rId1"/>
    <sheet name="Cal1" sheetId="1" r:id="rId2"/>
    <sheet name="Cal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3" l="1"/>
  <c r="N3" i="3"/>
  <c r="L3" i="3"/>
  <c r="P2" i="3"/>
  <c r="N2" i="3"/>
  <c r="L2" i="3"/>
  <c r="P6" i="3"/>
  <c r="P7" i="3"/>
  <c r="P8" i="3"/>
  <c r="P9" i="3"/>
  <c r="P10" i="3"/>
  <c r="P11" i="3"/>
  <c r="P12" i="3"/>
  <c r="P13" i="3"/>
  <c r="P14" i="3"/>
  <c r="P15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" i="3"/>
  <c r="AS4" i="2"/>
  <c r="AT4" i="2"/>
  <c r="AS5" i="2"/>
  <c r="AT5" i="2"/>
  <c r="AS6" i="2"/>
  <c r="AT6" i="2"/>
  <c r="AS7" i="2"/>
  <c r="AT7" i="2"/>
  <c r="AS8" i="2"/>
  <c r="AT8" i="2"/>
  <c r="AS9" i="2"/>
  <c r="AT9" i="2"/>
  <c r="AS10" i="2"/>
  <c r="AT10" i="2"/>
  <c r="AS11" i="2"/>
  <c r="AT11" i="2"/>
  <c r="AS12" i="2"/>
  <c r="AT12" i="2"/>
  <c r="AS15" i="2"/>
  <c r="AT15" i="2"/>
  <c r="AS16" i="2"/>
  <c r="AT16" i="2"/>
  <c r="AS17" i="2"/>
  <c r="AT17" i="2"/>
  <c r="AS18" i="2"/>
  <c r="AT18" i="2"/>
  <c r="AS19" i="2"/>
  <c r="AT19" i="2"/>
  <c r="AS20" i="2"/>
  <c r="AT20" i="2"/>
  <c r="AS21" i="2"/>
  <c r="AT21" i="2"/>
  <c r="AS22" i="2"/>
  <c r="AT22" i="2"/>
  <c r="AS23" i="2"/>
  <c r="AT23" i="2"/>
  <c r="AS24" i="2"/>
  <c r="AT24" i="2"/>
  <c r="AS25" i="2"/>
  <c r="AT25" i="2"/>
  <c r="AS26" i="2"/>
  <c r="AT26" i="2"/>
  <c r="AS27" i="2"/>
  <c r="AT27" i="2"/>
  <c r="AS28" i="2"/>
  <c r="AT28" i="2"/>
  <c r="AS29" i="2"/>
  <c r="AT29" i="2"/>
  <c r="AS30" i="2"/>
  <c r="AT30" i="2"/>
  <c r="AS31" i="2"/>
  <c r="AT31" i="2"/>
  <c r="AS32" i="2"/>
  <c r="AT32" i="2"/>
  <c r="AS33" i="2"/>
  <c r="AT33" i="2"/>
  <c r="AS34" i="2"/>
  <c r="AT34" i="2"/>
  <c r="AS35" i="2"/>
  <c r="AT35" i="2"/>
  <c r="AS36" i="2"/>
  <c r="AT36" i="2"/>
  <c r="AS37" i="2"/>
  <c r="AT37" i="2"/>
  <c r="AS38" i="2"/>
  <c r="AT38" i="2"/>
  <c r="AS39" i="2"/>
  <c r="AT39" i="2"/>
  <c r="AS40" i="2"/>
  <c r="AT40" i="2"/>
  <c r="AS41" i="2"/>
  <c r="AT41" i="2"/>
  <c r="AS42" i="2"/>
  <c r="AT42" i="2"/>
  <c r="AS43" i="2"/>
  <c r="AT43" i="2"/>
  <c r="AS44" i="2"/>
  <c r="AT44" i="2"/>
  <c r="AS45" i="2"/>
  <c r="AT45" i="2"/>
  <c r="AS46" i="2"/>
  <c r="AT46" i="2"/>
  <c r="AT3" i="2"/>
  <c r="AS3" i="2"/>
  <c r="AT2" i="2"/>
  <c r="AS2" i="2"/>
  <c r="AP3" i="2"/>
  <c r="AQ3" i="2"/>
  <c r="AP4" i="2"/>
  <c r="AQ4" i="2"/>
  <c r="AP5" i="2"/>
  <c r="AQ5" i="2"/>
  <c r="AP6" i="2"/>
  <c r="AQ6" i="2"/>
  <c r="AP7" i="2"/>
  <c r="AQ7" i="2"/>
  <c r="AP8" i="2"/>
  <c r="AQ8" i="2"/>
  <c r="AP9" i="2"/>
  <c r="AQ9" i="2"/>
  <c r="AP10" i="2"/>
  <c r="AQ10" i="2"/>
  <c r="AP11" i="2"/>
  <c r="AQ11" i="2"/>
  <c r="AP12" i="2"/>
  <c r="AQ12" i="2"/>
  <c r="AP15" i="2"/>
  <c r="AQ15" i="2"/>
  <c r="AP16" i="2"/>
  <c r="AQ16" i="2"/>
  <c r="AP17" i="2"/>
  <c r="AQ17" i="2"/>
  <c r="AP18" i="2"/>
  <c r="AQ18" i="2"/>
  <c r="AP19" i="2"/>
  <c r="AQ19" i="2"/>
  <c r="AP20" i="2"/>
  <c r="AQ20" i="2"/>
  <c r="AP21" i="2"/>
  <c r="AQ21" i="2"/>
  <c r="AP22" i="2"/>
  <c r="AQ22" i="2"/>
  <c r="AP23" i="2"/>
  <c r="AQ23" i="2"/>
  <c r="AP24" i="2"/>
  <c r="AQ24" i="2"/>
  <c r="AP25" i="2"/>
  <c r="AQ25" i="2"/>
  <c r="AP26" i="2"/>
  <c r="AQ26" i="2"/>
  <c r="AP27" i="2"/>
  <c r="AQ27" i="2"/>
  <c r="AP28" i="2"/>
  <c r="AQ28" i="2"/>
  <c r="AP29" i="2"/>
  <c r="AQ29" i="2"/>
  <c r="AP30" i="2"/>
  <c r="AQ30" i="2"/>
  <c r="AP31" i="2"/>
  <c r="AQ31" i="2"/>
  <c r="AP32" i="2"/>
  <c r="AQ32" i="2"/>
  <c r="AP33" i="2"/>
  <c r="AQ33" i="2"/>
  <c r="AP34" i="2"/>
  <c r="AQ34" i="2"/>
  <c r="AP35" i="2"/>
  <c r="AQ35" i="2"/>
  <c r="AP36" i="2"/>
  <c r="AQ36" i="2"/>
  <c r="AP37" i="2"/>
  <c r="AQ37" i="2"/>
  <c r="AP38" i="2"/>
  <c r="AQ38" i="2"/>
  <c r="AP39" i="2"/>
  <c r="AQ39" i="2"/>
  <c r="AP40" i="2"/>
  <c r="AQ40" i="2"/>
  <c r="AP41" i="2"/>
  <c r="AQ41" i="2"/>
  <c r="AP42" i="2"/>
  <c r="AQ42" i="2"/>
  <c r="AP43" i="2"/>
  <c r="AQ43" i="2"/>
  <c r="AP44" i="2"/>
  <c r="AQ44" i="2"/>
  <c r="AP45" i="2"/>
  <c r="AQ45" i="2"/>
  <c r="AP46" i="2"/>
  <c r="AQ46" i="2"/>
  <c r="AQ2" i="2"/>
  <c r="AP2" i="2"/>
  <c r="AB2" i="2"/>
  <c r="AC2" i="2"/>
  <c r="AD2" i="2"/>
  <c r="AA2" i="2"/>
  <c r="W2" i="2"/>
  <c r="X2" i="2"/>
  <c r="Y2" i="2"/>
  <c r="V2" i="2"/>
  <c r="AV4" i="2"/>
  <c r="AW4" i="2"/>
  <c r="AV5" i="2"/>
  <c r="AW5" i="2"/>
  <c r="AV6" i="2"/>
  <c r="AW6" i="2"/>
  <c r="AV7" i="2"/>
  <c r="AW7" i="2"/>
  <c r="AV8" i="2"/>
  <c r="AW8" i="2"/>
  <c r="AV9" i="2"/>
  <c r="AW9" i="2"/>
  <c r="AV10" i="2"/>
  <c r="AW10" i="2"/>
  <c r="AV11" i="2"/>
  <c r="AW11" i="2"/>
  <c r="AV12" i="2"/>
  <c r="AW12" i="2"/>
  <c r="AV13" i="2"/>
  <c r="AW13" i="2"/>
  <c r="AV14" i="2"/>
  <c r="AW14" i="2"/>
  <c r="AV15" i="2"/>
  <c r="AW15" i="2"/>
  <c r="AV16" i="2"/>
  <c r="AW16" i="2"/>
  <c r="AV17" i="2"/>
  <c r="AW17" i="2"/>
  <c r="AV18" i="2"/>
  <c r="AW18" i="2"/>
  <c r="AV19" i="2"/>
  <c r="AW19" i="2"/>
  <c r="AV20" i="2"/>
  <c r="AW20" i="2"/>
  <c r="AV21" i="2"/>
  <c r="AW21" i="2"/>
  <c r="AV22" i="2"/>
  <c r="AW22" i="2"/>
  <c r="AV23" i="2"/>
  <c r="AW23" i="2"/>
  <c r="AV24" i="2"/>
  <c r="AW24" i="2"/>
  <c r="AV25" i="2"/>
  <c r="AW25" i="2"/>
  <c r="AV26" i="2"/>
  <c r="AW26" i="2"/>
  <c r="AV27" i="2"/>
  <c r="AW27" i="2"/>
  <c r="AV28" i="2"/>
  <c r="AW28" i="2"/>
  <c r="AV29" i="2"/>
  <c r="AW29" i="2"/>
  <c r="AV30" i="2"/>
  <c r="AW30" i="2"/>
  <c r="AV31" i="2"/>
  <c r="AW31" i="2"/>
  <c r="AV32" i="2"/>
  <c r="AW32" i="2"/>
  <c r="AV33" i="2"/>
  <c r="AW33" i="2"/>
  <c r="AV34" i="2"/>
  <c r="AW34" i="2"/>
  <c r="AV35" i="2"/>
  <c r="AW35" i="2"/>
  <c r="AV36" i="2"/>
  <c r="AW36" i="2"/>
  <c r="AV37" i="2"/>
  <c r="AW37" i="2"/>
  <c r="AV38" i="2"/>
  <c r="AW38" i="2"/>
  <c r="AV39" i="2"/>
  <c r="AW39" i="2"/>
  <c r="AV40" i="2"/>
  <c r="AW40" i="2"/>
  <c r="AV41" i="2"/>
  <c r="AW41" i="2"/>
  <c r="AV42" i="2"/>
  <c r="AW42" i="2"/>
  <c r="AV43" i="2"/>
  <c r="AW43" i="2"/>
  <c r="AV44" i="2"/>
  <c r="AW44" i="2"/>
  <c r="AV45" i="2"/>
  <c r="AW45" i="2"/>
  <c r="AV46" i="2"/>
  <c r="AW46" i="2"/>
  <c r="V3" i="2"/>
  <c r="W3" i="2"/>
  <c r="X3" i="2"/>
  <c r="Y3" i="2"/>
  <c r="AA3" i="2"/>
  <c r="AB3" i="2"/>
  <c r="AC3" i="2"/>
  <c r="AD3" i="2"/>
  <c r="V4" i="2"/>
  <c r="AF4" i="2" s="1"/>
  <c r="W4" i="2"/>
  <c r="AG4" i="2" s="1"/>
  <c r="X4" i="2"/>
  <c r="AH4" i="2" s="1"/>
  <c r="Y4" i="2"/>
  <c r="AI4" i="2" s="1"/>
  <c r="AA4" i="2"/>
  <c r="AK4" i="2" s="1"/>
  <c r="AB4" i="2"/>
  <c r="AL4" i="2" s="1"/>
  <c r="AC4" i="2"/>
  <c r="AM4" i="2" s="1"/>
  <c r="AD4" i="2"/>
  <c r="AN4" i="2" s="1"/>
  <c r="V5" i="2"/>
  <c r="AF5" i="2" s="1"/>
  <c r="W5" i="2"/>
  <c r="AG5" i="2" s="1"/>
  <c r="X5" i="2"/>
  <c r="AH5" i="2" s="1"/>
  <c r="Y5" i="2"/>
  <c r="AI5" i="2" s="1"/>
  <c r="AA5" i="2"/>
  <c r="AK5" i="2" s="1"/>
  <c r="AB5" i="2"/>
  <c r="AL5" i="2" s="1"/>
  <c r="AC5" i="2"/>
  <c r="AM5" i="2" s="1"/>
  <c r="AD5" i="2"/>
  <c r="AN5" i="2" s="1"/>
  <c r="V6" i="2"/>
  <c r="AF6" i="2" s="1"/>
  <c r="W6" i="2"/>
  <c r="AG6" i="2" s="1"/>
  <c r="X6" i="2"/>
  <c r="AH6" i="2" s="1"/>
  <c r="Y6" i="2"/>
  <c r="AI6" i="2" s="1"/>
  <c r="AA6" i="2"/>
  <c r="AK6" i="2" s="1"/>
  <c r="AB6" i="2"/>
  <c r="AL6" i="2" s="1"/>
  <c r="AC6" i="2"/>
  <c r="AM6" i="2" s="1"/>
  <c r="AD6" i="2"/>
  <c r="AN6" i="2" s="1"/>
  <c r="V7" i="2"/>
  <c r="AF7" i="2" s="1"/>
  <c r="W7" i="2"/>
  <c r="AG7" i="2" s="1"/>
  <c r="X7" i="2"/>
  <c r="AH7" i="2" s="1"/>
  <c r="Y7" i="2"/>
  <c r="AI7" i="2" s="1"/>
  <c r="AA7" i="2"/>
  <c r="AK7" i="2" s="1"/>
  <c r="AB7" i="2"/>
  <c r="AL7" i="2" s="1"/>
  <c r="AC7" i="2"/>
  <c r="AM7" i="2" s="1"/>
  <c r="AD7" i="2"/>
  <c r="AN7" i="2" s="1"/>
  <c r="V8" i="2"/>
  <c r="AF8" i="2" s="1"/>
  <c r="W8" i="2"/>
  <c r="AG8" i="2" s="1"/>
  <c r="X8" i="2"/>
  <c r="AH8" i="2" s="1"/>
  <c r="Y8" i="2"/>
  <c r="AI8" i="2" s="1"/>
  <c r="AA8" i="2"/>
  <c r="AK8" i="2" s="1"/>
  <c r="AB8" i="2"/>
  <c r="AL8" i="2" s="1"/>
  <c r="AC8" i="2"/>
  <c r="AM8" i="2" s="1"/>
  <c r="AD8" i="2"/>
  <c r="AN8" i="2" s="1"/>
  <c r="V9" i="2"/>
  <c r="AF9" i="2" s="1"/>
  <c r="W9" i="2"/>
  <c r="AG9" i="2" s="1"/>
  <c r="X9" i="2"/>
  <c r="AH9" i="2" s="1"/>
  <c r="Y9" i="2"/>
  <c r="AI9" i="2" s="1"/>
  <c r="AA9" i="2"/>
  <c r="AK9" i="2" s="1"/>
  <c r="AB9" i="2"/>
  <c r="AL9" i="2" s="1"/>
  <c r="AC9" i="2"/>
  <c r="AM9" i="2" s="1"/>
  <c r="AD9" i="2"/>
  <c r="AN9" i="2" s="1"/>
  <c r="V10" i="2"/>
  <c r="AF10" i="2" s="1"/>
  <c r="W10" i="2"/>
  <c r="AG10" i="2" s="1"/>
  <c r="X10" i="2"/>
  <c r="AH10" i="2" s="1"/>
  <c r="Y10" i="2"/>
  <c r="AI10" i="2" s="1"/>
  <c r="AA10" i="2"/>
  <c r="AK10" i="2" s="1"/>
  <c r="AB10" i="2"/>
  <c r="AL10" i="2" s="1"/>
  <c r="AC10" i="2"/>
  <c r="AM10" i="2" s="1"/>
  <c r="AD10" i="2"/>
  <c r="AN10" i="2" s="1"/>
  <c r="V11" i="2"/>
  <c r="AF11" i="2" s="1"/>
  <c r="W11" i="2"/>
  <c r="AG11" i="2" s="1"/>
  <c r="X11" i="2"/>
  <c r="AH11" i="2" s="1"/>
  <c r="Y11" i="2"/>
  <c r="AI11" i="2" s="1"/>
  <c r="AA11" i="2"/>
  <c r="AK11" i="2" s="1"/>
  <c r="AB11" i="2"/>
  <c r="AL11" i="2" s="1"/>
  <c r="AC11" i="2"/>
  <c r="AM11" i="2" s="1"/>
  <c r="AD11" i="2"/>
  <c r="AN11" i="2" s="1"/>
  <c r="V12" i="2"/>
  <c r="AF12" i="2" s="1"/>
  <c r="W12" i="2"/>
  <c r="AG12" i="2" s="1"/>
  <c r="X12" i="2"/>
  <c r="AH12" i="2" s="1"/>
  <c r="Y12" i="2"/>
  <c r="AI12" i="2" s="1"/>
  <c r="AA12" i="2"/>
  <c r="AK12" i="2" s="1"/>
  <c r="AB12" i="2"/>
  <c r="AL12" i="2" s="1"/>
  <c r="AC12" i="2"/>
  <c r="AM12" i="2" s="1"/>
  <c r="AD12" i="2"/>
  <c r="AN12" i="2" s="1"/>
  <c r="V13" i="2"/>
  <c r="W13" i="2"/>
  <c r="X13" i="2"/>
  <c r="Y13" i="2"/>
  <c r="AA13" i="2"/>
  <c r="AB13" i="2"/>
  <c r="AC13" i="2"/>
  <c r="AD13" i="2"/>
  <c r="V14" i="2"/>
  <c r="W14" i="2"/>
  <c r="X14" i="2"/>
  <c r="Y14" i="2"/>
  <c r="AA14" i="2"/>
  <c r="AB14" i="2"/>
  <c r="AC14" i="2"/>
  <c r="AD14" i="2"/>
  <c r="V15" i="2"/>
  <c r="AF15" i="2" s="1"/>
  <c r="W15" i="2"/>
  <c r="AG15" i="2" s="1"/>
  <c r="X15" i="2"/>
  <c r="AH15" i="2" s="1"/>
  <c r="Y15" i="2"/>
  <c r="AI15" i="2" s="1"/>
  <c r="AA15" i="2"/>
  <c r="AK15" i="2" s="1"/>
  <c r="AB15" i="2"/>
  <c r="AL15" i="2" s="1"/>
  <c r="AC15" i="2"/>
  <c r="AM15" i="2" s="1"/>
  <c r="AD15" i="2"/>
  <c r="AN15" i="2" s="1"/>
  <c r="V16" i="2"/>
  <c r="AF16" i="2" s="1"/>
  <c r="W16" i="2"/>
  <c r="AG16" i="2" s="1"/>
  <c r="X16" i="2"/>
  <c r="AH16" i="2" s="1"/>
  <c r="Y16" i="2"/>
  <c r="AI16" i="2" s="1"/>
  <c r="AA16" i="2"/>
  <c r="AK16" i="2" s="1"/>
  <c r="AB16" i="2"/>
  <c r="AL16" i="2" s="1"/>
  <c r="AC16" i="2"/>
  <c r="AM16" i="2" s="1"/>
  <c r="AD16" i="2"/>
  <c r="AN16" i="2" s="1"/>
  <c r="V17" i="2"/>
  <c r="AF17" i="2" s="1"/>
  <c r="W17" i="2"/>
  <c r="AG17" i="2" s="1"/>
  <c r="X17" i="2"/>
  <c r="AH17" i="2" s="1"/>
  <c r="Y17" i="2"/>
  <c r="AI17" i="2" s="1"/>
  <c r="AA17" i="2"/>
  <c r="AK17" i="2" s="1"/>
  <c r="AB17" i="2"/>
  <c r="AL17" i="2" s="1"/>
  <c r="AC17" i="2"/>
  <c r="AM17" i="2" s="1"/>
  <c r="AD17" i="2"/>
  <c r="AN17" i="2" s="1"/>
  <c r="V18" i="2"/>
  <c r="AF18" i="2" s="1"/>
  <c r="W18" i="2"/>
  <c r="AG18" i="2" s="1"/>
  <c r="X18" i="2"/>
  <c r="AH18" i="2" s="1"/>
  <c r="Y18" i="2"/>
  <c r="AI18" i="2" s="1"/>
  <c r="AA18" i="2"/>
  <c r="AK18" i="2" s="1"/>
  <c r="AB18" i="2"/>
  <c r="AL18" i="2" s="1"/>
  <c r="AC18" i="2"/>
  <c r="AM18" i="2" s="1"/>
  <c r="AD18" i="2"/>
  <c r="AN18" i="2" s="1"/>
  <c r="V19" i="2"/>
  <c r="AF19" i="2" s="1"/>
  <c r="W19" i="2"/>
  <c r="AG19" i="2" s="1"/>
  <c r="X19" i="2"/>
  <c r="AH19" i="2" s="1"/>
  <c r="Y19" i="2"/>
  <c r="AI19" i="2" s="1"/>
  <c r="AA19" i="2"/>
  <c r="AK19" i="2" s="1"/>
  <c r="AB19" i="2"/>
  <c r="AL19" i="2" s="1"/>
  <c r="AC19" i="2"/>
  <c r="AM19" i="2" s="1"/>
  <c r="AD19" i="2"/>
  <c r="AN19" i="2" s="1"/>
  <c r="V20" i="2"/>
  <c r="AF20" i="2" s="1"/>
  <c r="W20" i="2"/>
  <c r="AG20" i="2" s="1"/>
  <c r="X20" i="2"/>
  <c r="AH20" i="2" s="1"/>
  <c r="Y20" i="2"/>
  <c r="AI20" i="2" s="1"/>
  <c r="AA20" i="2"/>
  <c r="AK20" i="2" s="1"/>
  <c r="AB20" i="2"/>
  <c r="AL20" i="2" s="1"/>
  <c r="AC20" i="2"/>
  <c r="AM20" i="2" s="1"/>
  <c r="AD20" i="2"/>
  <c r="AN20" i="2" s="1"/>
  <c r="V21" i="2"/>
  <c r="AF21" i="2" s="1"/>
  <c r="W21" i="2"/>
  <c r="AG21" i="2" s="1"/>
  <c r="X21" i="2"/>
  <c r="AH21" i="2" s="1"/>
  <c r="Y21" i="2"/>
  <c r="AI21" i="2" s="1"/>
  <c r="AA21" i="2"/>
  <c r="AK21" i="2" s="1"/>
  <c r="AB21" i="2"/>
  <c r="AL21" i="2" s="1"/>
  <c r="AC21" i="2"/>
  <c r="AM21" i="2" s="1"/>
  <c r="AD21" i="2"/>
  <c r="AN21" i="2" s="1"/>
  <c r="V22" i="2"/>
  <c r="AF22" i="2" s="1"/>
  <c r="W22" i="2"/>
  <c r="AG22" i="2" s="1"/>
  <c r="X22" i="2"/>
  <c r="AH22" i="2" s="1"/>
  <c r="Y22" i="2"/>
  <c r="AI22" i="2" s="1"/>
  <c r="AA22" i="2"/>
  <c r="AK22" i="2" s="1"/>
  <c r="AB22" i="2"/>
  <c r="AL22" i="2" s="1"/>
  <c r="AC22" i="2"/>
  <c r="AM22" i="2" s="1"/>
  <c r="AD22" i="2"/>
  <c r="AN22" i="2" s="1"/>
  <c r="V23" i="2"/>
  <c r="AF23" i="2" s="1"/>
  <c r="W23" i="2"/>
  <c r="AG23" i="2" s="1"/>
  <c r="X23" i="2"/>
  <c r="AH23" i="2" s="1"/>
  <c r="Y23" i="2"/>
  <c r="AI23" i="2" s="1"/>
  <c r="AA23" i="2"/>
  <c r="AK23" i="2" s="1"/>
  <c r="AB23" i="2"/>
  <c r="AL23" i="2" s="1"/>
  <c r="AC23" i="2"/>
  <c r="AM23" i="2" s="1"/>
  <c r="AD23" i="2"/>
  <c r="AN23" i="2" s="1"/>
  <c r="V24" i="2"/>
  <c r="AF24" i="2" s="1"/>
  <c r="W24" i="2"/>
  <c r="AG24" i="2" s="1"/>
  <c r="X24" i="2"/>
  <c r="AH24" i="2" s="1"/>
  <c r="Y24" i="2"/>
  <c r="AI24" i="2" s="1"/>
  <c r="AA24" i="2"/>
  <c r="AK24" i="2" s="1"/>
  <c r="AB24" i="2"/>
  <c r="AL24" i="2" s="1"/>
  <c r="AC24" i="2"/>
  <c r="AM24" i="2" s="1"/>
  <c r="AD24" i="2"/>
  <c r="AN24" i="2" s="1"/>
  <c r="V25" i="2"/>
  <c r="AF25" i="2" s="1"/>
  <c r="W25" i="2"/>
  <c r="AG25" i="2" s="1"/>
  <c r="X25" i="2"/>
  <c r="AH25" i="2" s="1"/>
  <c r="Y25" i="2"/>
  <c r="AI25" i="2" s="1"/>
  <c r="AA25" i="2"/>
  <c r="AK25" i="2" s="1"/>
  <c r="AB25" i="2"/>
  <c r="AL25" i="2" s="1"/>
  <c r="AC25" i="2"/>
  <c r="AM25" i="2" s="1"/>
  <c r="AD25" i="2"/>
  <c r="AN25" i="2" s="1"/>
  <c r="V26" i="2"/>
  <c r="AF26" i="2" s="1"/>
  <c r="W26" i="2"/>
  <c r="AG26" i="2" s="1"/>
  <c r="X26" i="2"/>
  <c r="AH26" i="2" s="1"/>
  <c r="Y26" i="2"/>
  <c r="AI26" i="2" s="1"/>
  <c r="AA26" i="2"/>
  <c r="AK26" i="2" s="1"/>
  <c r="AB26" i="2"/>
  <c r="AL26" i="2" s="1"/>
  <c r="AC26" i="2"/>
  <c r="AM26" i="2" s="1"/>
  <c r="AD26" i="2"/>
  <c r="AN26" i="2" s="1"/>
  <c r="V27" i="2"/>
  <c r="AF27" i="2" s="1"/>
  <c r="W27" i="2"/>
  <c r="AG27" i="2" s="1"/>
  <c r="X27" i="2"/>
  <c r="AH27" i="2" s="1"/>
  <c r="Y27" i="2"/>
  <c r="AI27" i="2" s="1"/>
  <c r="AA27" i="2"/>
  <c r="AK27" i="2" s="1"/>
  <c r="AB27" i="2"/>
  <c r="AL27" i="2" s="1"/>
  <c r="AC27" i="2"/>
  <c r="AM27" i="2" s="1"/>
  <c r="AD27" i="2"/>
  <c r="AN27" i="2" s="1"/>
  <c r="V28" i="2"/>
  <c r="AF28" i="2" s="1"/>
  <c r="W28" i="2"/>
  <c r="AG28" i="2" s="1"/>
  <c r="X28" i="2"/>
  <c r="AH28" i="2" s="1"/>
  <c r="Y28" i="2"/>
  <c r="AI28" i="2" s="1"/>
  <c r="AA28" i="2"/>
  <c r="AK28" i="2" s="1"/>
  <c r="AB28" i="2"/>
  <c r="AL28" i="2" s="1"/>
  <c r="AC28" i="2"/>
  <c r="AM28" i="2" s="1"/>
  <c r="AD28" i="2"/>
  <c r="AN28" i="2" s="1"/>
  <c r="V29" i="2"/>
  <c r="AF29" i="2" s="1"/>
  <c r="W29" i="2"/>
  <c r="AG29" i="2" s="1"/>
  <c r="X29" i="2"/>
  <c r="AH29" i="2" s="1"/>
  <c r="Y29" i="2"/>
  <c r="AI29" i="2" s="1"/>
  <c r="AA29" i="2"/>
  <c r="AK29" i="2" s="1"/>
  <c r="AB29" i="2"/>
  <c r="AL29" i="2" s="1"/>
  <c r="AC29" i="2"/>
  <c r="AM29" i="2" s="1"/>
  <c r="AD29" i="2"/>
  <c r="AN29" i="2" s="1"/>
  <c r="V30" i="2"/>
  <c r="AF30" i="2" s="1"/>
  <c r="W30" i="2"/>
  <c r="AG30" i="2" s="1"/>
  <c r="X30" i="2"/>
  <c r="AH30" i="2" s="1"/>
  <c r="Y30" i="2"/>
  <c r="AI30" i="2" s="1"/>
  <c r="AA30" i="2"/>
  <c r="AK30" i="2" s="1"/>
  <c r="AB30" i="2"/>
  <c r="AL30" i="2" s="1"/>
  <c r="AC30" i="2"/>
  <c r="AM30" i="2" s="1"/>
  <c r="AD30" i="2"/>
  <c r="AN30" i="2" s="1"/>
  <c r="V31" i="2"/>
  <c r="AF31" i="2" s="1"/>
  <c r="W31" i="2"/>
  <c r="AG31" i="2" s="1"/>
  <c r="X31" i="2"/>
  <c r="AH31" i="2" s="1"/>
  <c r="Y31" i="2"/>
  <c r="AI31" i="2" s="1"/>
  <c r="AA31" i="2"/>
  <c r="AK31" i="2" s="1"/>
  <c r="AB31" i="2"/>
  <c r="AL31" i="2" s="1"/>
  <c r="AC31" i="2"/>
  <c r="AM31" i="2" s="1"/>
  <c r="AD31" i="2"/>
  <c r="AN31" i="2" s="1"/>
  <c r="V32" i="2"/>
  <c r="AF32" i="2" s="1"/>
  <c r="W32" i="2"/>
  <c r="AG32" i="2" s="1"/>
  <c r="X32" i="2"/>
  <c r="AH32" i="2" s="1"/>
  <c r="Y32" i="2"/>
  <c r="AI32" i="2" s="1"/>
  <c r="AA32" i="2"/>
  <c r="AK32" i="2" s="1"/>
  <c r="AB32" i="2"/>
  <c r="AL32" i="2" s="1"/>
  <c r="AC32" i="2"/>
  <c r="AM32" i="2" s="1"/>
  <c r="AD32" i="2"/>
  <c r="AN32" i="2" s="1"/>
  <c r="V33" i="2"/>
  <c r="AF33" i="2" s="1"/>
  <c r="W33" i="2"/>
  <c r="AG33" i="2" s="1"/>
  <c r="X33" i="2"/>
  <c r="AH33" i="2" s="1"/>
  <c r="Y33" i="2"/>
  <c r="AI33" i="2" s="1"/>
  <c r="AA33" i="2"/>
  <c r="AK33" i="2" s="1"/>
  <c r="AB33" i="2"/>
  <c r="AL33" i="2" s="1"/>
  <c r="AC33" i="2"/>
  <c r="AM33" i="2" s="1"/>
  <c r="AD33" i="2"/>
  <c r="AN33" i="2" s="1"/>
  <c r="V34" i="2"/>
  <c r="AF34" i="2" s="1"/>
  <c r="W34" i="2"/>
  <c r="AG34" i="2" s="1"/>
  <c r="X34" i="2"/>
  <c r="AH34" i="2" s="1"/>
  <c r="Y34" i="2"/>
  <c r="AI34" i="2" s="1"/>
  <c r="AA34" i="2"/>
  <c r="AK34" i="2" s="1"/>
  <c r="AB34" i="2"/>
  <c r="AL34" i="2" s="1"/>
  <c r="AC34" i="2"/>
  <c r="AM34" i="2" s="1"/>
  <c r="AD34" i="2"/>
  <c r="AN34" i="2" s="1"/>
  <c r="V35" i="2"/>
  <c r="AF35" i="2" s="1"/>
  <c r="W35" i="2"/>
  <c r="AG35" i="2" s="1"/>
  <c r="X35" i="2"/>
  <c r="AH35" i="2" s="1"/>
  <c r="Y35" i="2"/>
  <c r="AI35" i="2" s="1"/>
  <c r="AA35" i="2"/>
  <c r="AK35" i="2" s="1"/>
  <c r="AB35" i="2"/>
  <c r="AL35" i="2" s="1"/>
  <c r="AC35" i="2"/>
  <c r="AM35" i="2" s="1"/>
  <c r="AD35" i="2"/>
  <c r="AN35" i="2" s="1"/>
  <c r="V36" i="2"/>
  <c r="AF36" i="2" s="1"/>
  <c r="W36" i="2"/>
  <c r="AG36" i="2" s="1"/>
  <c r="X36" i="2"/>
  <c r="AH36" i="2" s="1"/>
  <c r="Y36" i="2"/>
  <c r="AI36" i="2" s="1"/>
  <c r="AA36" i="2"/>
  <c r="AK36" i="2" s="1"/>
  <c r="AB36" i="2"/>
  <c r="AL36" i="2" s="1"/>
  <c r="AC36" i="2"/>
  <c r="AM36" i="2" s="1"/>
  <c r="AD36" i="2"/>
  <c r="AN36" i="2" s="1"/>
  <c r="V37" i="2"/>
  <c r="AF37" i="2" s="1"/>
  <c r="W37" i="2"/>
  <c r="AG37" i="2" s="1"/>
  <c r="X37" i="2"/>
  <c r="AH37" i="2" s="1"/>
  <c r="Y37" i="2"/>
  <c r="AI37" i="2" s="1"/>
  <c r="AA37" i="2"/>
  <c r="AK37" i="2" s="1"/>
  <c r="AB37" i="2"/>
  <c r="AL37" i="2" s="1"/>
  <c r="AC37" i="2"/>
  <c r="AM37" i="2" s="1"/>
  <c r="AD37" i="2"/>
  <c r="AN37" i="2" s="1"/>
  <c r="V38" i="2"/>
  <c r="AF38" i="2" s="1"/>
  <c r="W38" i="2"/>
  <c r="AG38" i="2" s="1"/>
  <c r="X38" i="2"/>
  <c r="AH38" i="2" s="1"/>
  <c r="Y38" i="2"/>
  <c r="AI38" i="2" s="1"/>
  <c r="AA38" i="2"/>
  <c r="AK38" i="2" s="1"/>
  <c r="AB38" i="2"/>
  <c r="AL38" i="2" s="1"/>
  <c r="AC38" i="2"/>
  <c r="AM38" i="2" s="1"/>
  <c r="AD38" i="2"/>
  <c r="AN38" i="2" s="1"/>
  <c r="V39" i="2"/>
  <c r="AF39" i="2" s="1"/>
  <c r="W39" i="2"/>
  <c r="AG39" i="2" s="1"/>
  <c r="X39" i="2"/>
  <c r="AH39" i="2" s="1"/>
  <c r="Y39" i="2"/>
  <c r="AI39" i="2" s="1"/>
  <c r="AA39" i="2"/>
  <c r="AK39" i="2" s="1"/>
  <c r="AB39" i="2"/>
  <c r="AL39" i="2" s="1"/>
  <c r="AC39" i="2"/>
  <c r="AM39" i="2" s="1"/>
  <c r="AD39" i="2"/>
  <c r="AN39" i="2" s="1"/>
  <c r="V40" i="2"/>
  <c r="AF40" i="2" s="1"/>
  <c r="W40" i="2"/>
  <c r="AG40" i="2" s="1"/>
  <c r="X40" i="2"/>
  <c r="AH40" i="2" s="1"/>
  <c r="Y40" i="2"/>
  <c r="AI40" i="2" s="1"/>
  <c r="AA40" i="2"/>
  <c r="AK40" i="2" s="1"/>
  <c r="AB40" i="2"/>
  <c r="AL40" i="2" s="1"/>
  <c r="AC40" i="2"/>
  <c r="AM40" i="2" s="1"/>
  <c r="AD40" i="2"/>
  <c r="AN40" i="2" s="1"/>
  <c r="V41" i="2"/>
  <c r="AF41" i="2" s="1"/>
  <c r="W41" i="2"/>
  <c r="AG41" i="2" s="1"/>
  <c r="X41" i="2"/>
  <c r="AH41" i="2" s="1"/>
  <c r="Y41" i="2"/>
  <c r="AI41" i="2" s="1"/>
  <c r="AA41" i="2"/>
  <c r="AK41" i="2" s="1"/>
  <c r="AB41" i="2"/>
  <c r="AL41" i="2" s="1"/>
  <c r="AC41" i="2"/>
  <c r="AM41" i="2" s="1"/>
  <c r="AD41" i="2"/>
  <c r="AN41" i="2" s="1"/>
  <c r="V42" i="2"/>
  <c r="AF42" i="2" s="1"/>
  <c r="W42" i="2"/>
  <c r="AG42" i="2" s="1"/>
  <c r="X42" i="2"/>
  <c r="AH42" i="2" s="1"/>
  <c r="Y42" i="2"/>
  <c r="AI42" i="2" s="1"/>
  <c r="AA42" i="2"/>
  <c r="AK42" i="2" s="1"/>
  <c r="AB42" i="2"/>
  <c r="AL42" i="2" s="1"/>
  <c r="AC42" i="2"/>
  <c r="AM42" i="2" s="1"/>
  <c r="AD42" i="2"/>
  <c r="AN42" i="2" s="1"/>
  <c r="V43" i="2"/>
  <c r="AF43" i="2" s="1"/>
  <c r="W43" i="2"/>
  <c r="AG43" i="2" s="1"/>
  <c r="X43" i="2"/>
  <c r="AH43" i="2" s="1"/>
  <c r="Y43" i="2"/>
  <c r="AI43" i="2" s="1"/>
  <c r="AA43" i="2"/>
  <c r="AK43" i="2" s="1"/>
  <c r="AB43" i="2"/>
  <c r="AL43" i="2" s="1"/>
  <c r="AC43" i="2"/>
  <c r="AM43" i="2" s="1"/>
  <c r="AD43" i="2"/>
  <c r="AN43" i="2" s="1"/>
  <c r="V44" i="2"/>
  <c r="AF44" i="2" s="1"/>
  <c r="W44" i="2"/>
  <c r="AG44" i="2" s="1"/>
  <c r="X44" i="2"/>
  <c r="AH44" i="2" s="1"/>
  <c r="Y44" i="2"/>
  <c r="AI44" i="2" s="1"/>
  <c r="AA44" i="2"/>
  <c r="AK44" i="2" s="1"/>
  <c r="AB44" i="2"/>
  <c r="AL44" i="2" s="1"/>
  <c r="AC44" i="2"/>
  <c r="AM44" i="2" s="1"/>
  <c r="AD44" i="2"/>
  <c r="AN44" i="2" s="1"/>
  <c r="V45" i="2"/>
  <c r="AF45" i="2" s="1"/>
  <c r="W45" i="2"/>
  <c r="AG45" i="2" s="1"/>
  <c r="X45" i="2"/>
  <c r="AH45" i="2" s="1"/>
  <c r="Y45" i="2"/>
  <c r="AI45" i="2" s="1"/>
  <c r="AA45" i="2"/>
  <c r="AK45" i="2" s="1"/>
  <c r="AB45" i="2"/>
  <c r="AL45" i="2" s="1"/>
  <c r="AC45" i="2"/>
  <c r="AM45" i="2" s="1"/>
  <c r="AD45" i="2"/>
  <c r="AN45" i="2" s="1"/>
  <c r="V46" i="2"/>
  <c r="AF46" i="2" s="1"/>
  <c r="W46" i="2"/>
  <c r="AG46" i="2" s="1"/>
  <c r="X46" i="2"/>
  <c r="AH46" i="2" s="1"/>
  <c r="Y46" i="2"/>
  <c r="AI46" i="2" s="1"/>
  <c r="AA46" i="2"/>
  <c r="AK46" i="2" s="1"/>
  <c r="AB46" i="2"/>
  <c r="AL46" i="2" s="1"/>
  <c r="AC46" i="2"/>
  <c r="AM46" i="2" s="1"/>
  <c r="AD46" i="2"/>
  <c r="AN46" i="2" s="1"/>
  <c r="AL2" i="2"/>
  <c r="AM2" i="2"/>
  <c r="AN2" i="2"/>
  <c r="AK2" i="2"/>
  <c r="AW2" i="2" s="1"/>
  <c r="AG2" i="2"/>
  <c r="AH2" i="2"/>
  <c r="AI2" i="2"/>
  <c r="AF2" i="2"/>
  <c r="AV2" i="2" s="1"/>
  <c r="AJ3" i="1"/>
  <c r="AK3" i="1"/>
  <c r="AL3" i="1"/>
  <c r="AM3" i="1"/>
  <c r="AO3" i="1"/>
  <c r="AP3" i="1"/>
  <c r="AQ3" i="1"/>
  <c r="AR3" i="1"/>
  <c r="AJ4" i="1"/>
  <c r="AK4" i="1"/>
  <c r="AL4" i="1"/>
  <c r="AM4" i="1"/>
  <c r="AO4" i="1"/>
  <c r="AP4" i="1"/>
  <c r="AQ4" i="1"/>
  <c r="AR4" i="1"/>
  <c r="AJ5" i="1"/>
  <c r="AK5" i="1"/>
  <c r="AL5" i="1"/>
  <c r="AM5" i="1"/>
  <c r="AO5" i="1"/>
  <c r="AP5" i="1"/>
  <c r="AQ5" i="1"/>
  <c r="AR5" i="1"/>
  <c r="AJ6" i="1"/>
  <c r="AK6" i="1"/>
  <c r="AL6" i="1"/>
  <c r="AM6" i="1"/>
  <c r="AO6" i="1"/>
  <c r="AP6" i="1"/>
  <c r="AQ6" i="1"/>
  <c r="AR6" i="1"/>
  <c r="AJ7" i="1"/>
  <c r="AK7" i="1"/>
  <c r="AL7" i="1"/>
  <c r="AM7" i="1"/>
  <c r="AO7" i="1"/>
  <c r="AP7" i="1"/>
  <c r="AQ7" i="1"/>
  <c r="AR7" i="1"/>
  <c r="AJ8" i="1"/>
  <c r="AK8" i="1"/>
  <c r="AL8" i="1"/>
  <c r="AM8" i="1"/>
  <c r="AO8" i="1"/>
  <c r="AP8" i="1"/>
  <c r="AQ8" i="1"/>
  <c r="AR8" i="1"/>
  <c r="AJ9" i="1"/>
  <c r="AK9" i="1"/>
  <c r="AL9" i="1"/>
  <c r="AM9" i="1"/>
  <c r="AO9" i="1"/>
  <c r="AP9" i="1"/>
  <c r="AQ9" i="1"/>
  <c r="AR9" i="1"/>
  <c r="AJ10" i="1"/>
  <c r="AK10" i="1"/>
  <c r="AL10" i="1"/>
  <c r="AM10" i="1"/>
  <c r="AO10" i="1"/>
  <c r="AP10" i="1"/>
  <c r="AQ10" i="1"/>
  <c r="AR10" i="1"/>
  <c r="AJ11" i="1"/>
  <c r="AK11" i="1"/>
  <c r="AL11" i="1"/>
  <c r="AM11" i="1"/>
  <c r="AO11" i="1"/>
  <c r="AP11" i="1"/>
  <c r="AQ11" i="1"/>
  <c r="AR11" i="1"/>
  <c r="AJ12" i="1"/>
  <c r="AK12" i="1"/>
  <c r="AL12" i="1"/>
  <c r="AM12" i="1"/>
  <c r="AO12" i="1"/>
  <c r="AP12" i="1"/>
  <c r="AQ12" i="1"/>
  <c r="AR12" i="1"/>
  <c r="AJ13" i="1"/>
  <c r="AK13" i="1"/>
  <c r="AL13" i="1"/>
  <c r="AM13" i="1"/>
  <c r="AO13" i="1"/>
  <c r="AP13" i="1"/>
  <c r="AQ13" i="1"/>
  <c r="AR13" i="1"/>
  <c r="AJ14" i="1"/>
  <c r="AK14" i="1"/>
  <c r="AL14" i="1"/>
  <c r="AM14" i="1"/>
  <c r="AO14" i="1"/>
  <c r="AP14" i="1"/>
  <c r="AQ14" i="1"/>
  <c r="AR14" i="1"/>
  <c r="AJ15" i="1"/>
  <c r="AK15" i="1"/>
  <c r="AL15" i="1"/>
  <c r="AM15" i="1"/>
  <c r="AO15" i="1"/>
  <c r="AP15" i="1"/>
  <c r="AQ15" i="1"/>
  <c r="AR15" i="1"/>
  <c r="AJ16" i="1"/>
  <c r="AK16" i="1"/>
  <c r="AL16" i="1"/>
  <c r="AM16" i="1"/>
  <c r="AO16" i="1"/>
  <c r="AP16" i="1"/>
  <c r="AQ16" i="1"/>
  <c r="AR16" i="1"/>
  <c r="AJ17" i="1"/>
  <c r="AK17" i="1"/>
  <c r="AL17" i="1"/>
  <c r="AM17" i="1"/>
  <c r="AO17" i="1"/>
  <c r="AP17" i="1"/>
  <c r="AQ17" i="1"/>
  <c r="AR17" i="1"/>
  <c r="AJ18" i="1"/>
  <c r="AK18" i="1"/>
  <c r="AL18" i="1"/>
  <c r="AM18" i="1"/>
  <c r="AO18" i="1"/>
  <c r="AP18" i="1"/>
  <c r="AQ18" i="1"/>
  <c r="AR18" i="1"/>
  <c r="AJ19" i="1"/>
  <c r="AK19" i="1"/>
  <c r="AL19" i="1"/>
  <c r="AM19" i="1"/>
  <c r="AO19" i="1"/>
  <c r="AP19" i="1"/>
  <c r="AQ19" i="1"/>
  <c r="AR19" i="1"/>
  <c r="AJ20" i="1"/>
  <c r="AK20" i="1"/>
  <c r="AL20" i="1"/>
  <c r="AM20" i="1"/>
  <c r="AO20" i="1"/>
  <c r="AP20" i="1"/>
  <c r="AQ20" i="1"/>
  <c r="AR20" i="1"/>
  <c r="AJ21" i="1"/>
  <c r="AK21" i="1"/>
  <c r="AL21" i="1"/>
  <c r="AM21" i="1"/>
  <c r="AO21" i="1"/>
  <c r="AP21" i="1"/>
  <c r="AQ21" i="1"/>
  <c r="AR21" i="1"/>
  <c r="AJ22" i="1"/>
  <c r="AK22" i="1"/>
  <c r="AL22" i="1"/>
  <c r="AM22" i="1"/>
  <c r="AO22" i="1"/>
  <c r="AP22" i="1"/>
  <c r="AQ22" i="1"/>
  <c r="AR22" i="1"/>
  <c r="AJ23" i="1"/>
  <c r="AK23" i="1"/>
  <c r="AL23" i="1"/>
  <c r="AM23" i="1"/>
  <c r="AO23" i="1"/>
  <c r="AP23" i="1"/>
  <c r="AQ23" i="1"/>
  <c r="AR23" i="1"/>
  <c r="AJ24" i="1"/>
  <c r="AK24" i="1"/>
  <c r="AL24" i="1"/>
  <c r="AM24" i="1"/>
  <c r="AO24" i="1"/>
  <c r="AP24" i="1"/>
  <c r="AQ24" i="1"/>
  <c r="AR24" i="1"/>
  <c r="AJ25" i="1"/>
  <c r="AK25" i="1"/>
  <c r="AL25" i="1"/>
  <c r="AM25" i="1"/>
  <c r="AO25" i="1"/>
  <c r="AP25" i="1"/>
  <c r="AQ25" i="1"/>
  <c r="AR25" i="1"/>
  <c r="AJ26" i="1"/>
  <c r="AK26" i="1"/>
  <c r="AL26" i="1"/>
  <c r="AM26" i="1"/>
  <c r="AO26" i="1"/>
  <c r="AP26" i="1"/>
  <c r="AQ26" i="1"/>
  <c r="AR26" i="1"/>
  <c r="AJ27" i="1"/>
  <c r="AK27" i="1"/>
  <c r="AL27" i="1"/>
  <c r="AM27" i="1"/>
  <c r="AO27" i="1"/>
  <c r="AP27" i="1"/>
  <c r="AQ27" i="1"/>
  <c r="AR27" i="1"/>
  <c r="AJ28" i="1"/>
  <c r="AK28" i="1"/>
  <c r="AL28" i="1"/>
  <c r="AM28" i="1"/>
  <c r="AO28" i="1"/>
  <c r="AP28" i="1"/>
  <c r="AQ28" i="1"/>
  <c r="AR28" i="1"/>
  <c r="AJ29" i="1"/>
  <c r="AK29" i="1"/>
  <c r="AL29" i="1"/>
  <c r="AM29" i="1"/>
  <c r="AO29" i="1"/>
  <c r="AP29" i="1"/>
  <c r="AQ29" i="1"/>
  <c r="AR29" i="1"/>
  <c r="AJ30" i="1"/>
  <c r="AK30" i="1"/>
  <c r="AL30" i="1"/>
  <c r="AM30" i="1"/>
  <c r="AO30" i="1"/>
  <c r="AP30" i="1"/>
  <c r="AQ30" i="1"/>
  <c r="AR30" i="1"/>
  <c r="AJ31" i="1"/>
  <c r="AK31" i="1"/>
  <c r="AL31" i="1"/>
  <c r="AM31" i="1"/>
  <c r="AO31" i="1"/>
  <c r="AP31" i="1"/>
  <c r="AQ31" i="1"/>
  <c r="AR31" i="1"/>
  <c r="AJ32" i="1"/>
  <c r="AK32" i="1"/>
  <c r="AL32" i="1"/>
  <c r="AM32" i="1"/>
  <c r="AO32" i="1"/>
  <c r="AP32" i="1"/>
  <c r="AQ32" i="1"/>
  <c r="AR32" i="1"/>
  <c r="AJ33" i="1"/>
  <c r="AK33" i="1"/>
  <c r="AL33" i="1"/>
  <c r="AM33" i="1"/>
  <c r="AO33" i="1"/>
  <c r="AP33" i="1"/>
  <c r="AQ33" i="1"/>
  <c r="AR33" i="1"/>
  <c r="AJ34" i="1"/>
  <c r="AK34" i="1"/>
  <c r="AL34" i="1"/>
  <c r="AM34" i="1"/>
  <c r="AO34" i="1"/>
  <c r="AP34" i="1"/>
  <c r="AQ34" i="1"/>
  <c r="AR34" i="1"/>
  <c r="AJ35" i="1"/>
  <c r="AK35" i="1"/>
  <c r="AL35" i="1"/>
  <c r="AM35" i="1"/>
  <c r="AO35" i="1"/>
  <c r="AP35" i="1"/>
  <c r="AQ35" i="1"/>
  <c r="AR35" i="1"/>
  <c r="AJ36" i="1"/>
  <c r="AK36" i="1"/>
  <c r="AL36" i="1"/>
  <c r="AM36" i="1"/>
  <c r="AO36" i="1"/>
  <c r="AP36" i="1"/>
  <c r="AQ36" i="1"/>
  <c r="AR36" i="1"/>
  <c r="AJ37" i="1"/>
  <c r="AK37" i="1"/>
  <c r="AL37" i="1"/>
  <c r="AM37" i="1"/>
  <c r="AO37" i="1"/>
  <c r="AP37" i="1"/>
  <c r="AQ37" i="1"/>
  <c r="AR37" i="1"/>
  <c r="AJ38" i="1"/>
  <c r="AK38" i="1"/>
  <c r="AL38" i="1"/>
  <c r="AM38" i="1"/>
  <c r="AO38" i="1"/>
  <c r="AP38" i="1"/>
  <c r="AQ38" i="1"/>
  <c r="AR38" i="1"/>
  <c r="AJ39" i="1"/>
  <c r="AK39" i="1"/>
  <c r="AL39" i="1"/>
  <c r="AM39" i="1"/>
  <c r="AO39" i="1"/>
  <c r="AP39" i="1"/>
  <c r="AQ39" i="1"/>
  <c r="AR39" i="1"/>
  <c r="AJ40" i="1"/>
  <c r="AK40" i="1"/>
  <c r="AL40" i="1"/>
  <c r="AM40" i="1"/>
  <c r="AO40" i="1"/>
  <c r="AP40" i="1"/>
  <c r="AQ40" i="1"/>
  <c r="AR40" i="1"/>
  <c r="AJ41" i="1"/>
  <c r="AK41" i="1"/>
  <c r="AL41" i="1"/>
  <c r="AM41" i="1"/>
  <c r="AO41" i="1"/>
  <c r="AP41" i="1"/>
  <c r="AQ41" i="1"/>
  <c r="AR41" i="1"/>
  <c r="AJ42" i="1"/>
  <c r="AK42" i="1"/>
  <c r="AL42" i="1"/>
  <c r="AM42" i="1"/>
  <c r="AO42" i="1"/>
  <c r="AP42" i="1"/>
  <c r="AQ42" i="1"/>
  <c r="AR42" i="1"/>
  <c r="AJ43" i="1"/>
  <c r="AK43" i="1"/>
  <c r="AL43" i="1"/>
  <c r="AM43" i="1"/>
  <c r="AO43" i="1"/>
  <c r="AP43" i="1"/>
  <c r="AQ43" i="1"/>
  <c r="AR43" i="1"/>
  <c r="AJ44" i="1"/>
  <c r="AK44" i="1"/>
  <c r="AL44" i="1"/>
  <c r="AM44" i="1"/>
  <c r="AO44" i="1"/>
  <c r="AP44" i="1"/>
  <c r="AQ44" i="1"/>
  <c r="AR44" i="1"/>
  <c r="AJ45" i="1"/>
  <c r="AK45" i="1"/>
  <c r="AL45" i="1"/>
  <c r="AM45" i="1"/>
  <c r="AO45" i="1"/>
  <c r="AP45" i="1"/>
  <c r="AQ45" i="1"/>
  <c r="AR45" i="1"/>
  <c r="AJ46" i="1"/>
  <c r="AK46" i="1"/>
  <c r="AL46" i="1"/>
  <c r="AM46" i="1"/>
  <c r="AO46" i="1"/>
  <c r="AP46" i="1"/>
  <c r="AQ46" i="1"/>
  <c r="AR46" i="1"/>
  <c r="AJ47" i="1"/>
  <c r="AK47" i="1"/>
  <c r="AL47" i="1"/>
  <c r="AM47" i="1"/>
  <c r="AO47" i="1"/>
  <c r="AP47" i="1"/>
  <c r="AQ47" i="1"/>
  <c r="AR47" i="1"/>
  <c r="AP2" i="1"/>
  <c r="AQ2" i="1"/>
  <c r="AR2" i="1"/>
  <c r="AJ2" i="1"/>
  <c r="AO2" i="1"/>
  <c r="AK2" i="1"/>
  <c r="AL2" i="1"/>
  <c r="AM2" i="1"/>
  <c r="AN3" i="2" l="1"/>
  <c r="AM3" i="2"/>
  <c r="AL3" i="2"/>
  <c r="AK3" i="2"/>
  <c r="AW3" i="2" s="1"/>
  <c r="AI3" i="2"/>
  <c r="AH3" i="2"/>
  <c r="AG3" i="2"/>
  <c r="AF3" i="2"/>
  <c r="AV3" i="2" s="1"/>
</calcChain>
</file>

<file path=xl/sharedStrings.xml><?xml version="1.0" encoding="utf-8"?>
<sst xmlns="http://schemas.openxmlformats.org/spreadsheetml/2006/main" count="65" uniqueCount="52">
  <si>
    <t>Start time</t>
  </si>
  <si>
    <t>Number of motorcycles is not accurate</t>
  </si>
  <si>
    <t>This statistics is less accurate than statistics at exit</t>
  </si>
  <si>
    <t>veh/43min</t>
  </si>
  <si>
    <t>veh/hr</t>
  </si>
  <si>
    <t>count time (s)</t>
  </si>
  <si>
    <t>main road_cars</t>
  </si>
  <si>
    <t>main road_motorcycles</t>
  </si>
  <si>
    <t>main road_buses</t>
  </si>
  <si>
    <t>main road_trucks</t>
  </si>
  <si>
    <t>merge_cars</t>
  </si>
  <si>
    <t>merge_motorcycles</t>
  </si>
  <si>
    <t>merge_buses</t>
  </si>
  <si>
    <t>merge_trucks</t>
  </si>
  <si>
    <t>total_main road (w/o motorcycles)</t>
  </si>
  <si>
    <t>total_merge (w/o motorcycles)</t>
  </si>
  <si>
    <t>total (w/o motorcycles)</t>
  </si>
  <si>
    <t>l</t>
  </si>
  <si>
    <t>video_time_sec</t>
  </si>
  <si>
    <t>line_1_down_car</t>
  </si>
  <si>
    <t>line_1_down_motorcycle</t>
  </si>
  <si>
    <t>line_1_down_bus</t>
  </si>
  <si>
    <t>line_1_down_truck</t>
  </si>
  <si>
    <t>line_2_down_car</t>
  </si>
  <si>
    <t>line_2_down_motorcycle</t>
  </si>
  <si>
    <t>line_2_down_bus</t>
  </si>
  <si>
    <t>line_2_down_truck</t>
  </si>
  <si>
    <t>line_3_left_car</t>
  </si>
  <si>
    <t>line_3_left_motorcycle</t>
  </si>
  <si>
    <t>line_3_left_bus</t>
  </si>
  <si>
    <t>line_3_left_truck</t>
  </si>
  <si>
    <t>line_4_left_car</t>
  </si>
  <si>
    <t>line_4_left_motorcycle</t>
  </si>
  <si>
    <t>line_4_left_bus</t>
  </si>
  <si>
    <t>line_4_left_truck</t>
  </si>
  <si>
    <t>line_5_left_car</t>
  </si>
  <si>
    <t>line_5_left_motorcycle</t>
  </si>
  <si>
    <t>line_5_left_bus</t>
  </si>
  <si>
    <t>line_5_left_truck</t>
  </si>
  <si>
    <t>line_6_right_car</t>
  </si>
  <si>
    <t>line_6_right_motorcycle</t>
  </si>
  <si>
    <t>line_6_right_bus</t>
  </si>
  <si>
    <t>line_6_right_truck</t>
  </si>
  <si>
    <t>line_7_right_car</t>
  </si>
  <si>
    <t>line_7_right_motorcycle</t>
  </si>
  <si>
    <t>line_7_right_bus</t>
  </si>
  <si>
    <t>line_7_right_truck</t>
  </si>
  <si>
    <t>line_8_right_car</t>
  </si>
  <si>
    <t>line_8_right_motorcycle</t>
  </si>
  <si>
    <t>line_8_right_bus</t>
  </si>
  <si>
    <t>line_8_right_truck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</si>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</sst>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6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19" fillId="33" borderId="0" xfId="0" applyFont="1" applyFill="1">
      <alignment vertical="center"/>
    </xf>
    <xf numFmtId="0" fontId="0" fillId="34" borderId="0" xfId="0" applyFill="1">
      <alignment vertical="center"/>
    </xf>
    <xf numFmtId="0" fontId="14" fillId="34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Results!$L$4</c:f>
              <c:strCache>
                <c:ptCount val="1"/>
                <c:pt idx="0">
                  <c:v>total_main road (w/o motorcycles)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10"/>
            <c:dispRSqr val="0"/>
            <c:dispEq val="0"/>
          </c:trendline>
          <c:cat>
            <c:numRef>
              <c:f>Results!$A$5:$A$49</c:f>
              <c:numCache>
                <c:formatCode>General</c:formatCode>
                <c:ptCount val="45"/>
                <c:pt idx="0">
                  <c:v>60.04</c:v>
                </c:pt>
                <c:pt idx="1">
                  <c:v>120.08</c:v>
                </c:pt>
                <c:pt idx="2">
                  <c:v>180.12</c:v>
                </c:pt>
                <c:pt idx="3">
                  <c:v>240.16</c:v>
                </c:pt>
                <c:pt idx="4">
                  <c:v>300.2</c:v>
                </c:pt>
                <c:pt idx="5">
                  <c:v>360.24</c:v>
                </c:pt>
                <c:pt idx="6">
                  <c:v>420.28</c:v>
                </c:pt>
                <c:pt idx="7">
                  <c:v>480.33</c:v>
                </c:pt>
                <c:pt idx="8">
                  <c:v>540.37</c:v>
                </c:pt>
                <c:pt idx="9">
                  <c:v>600.41</c:v>
                </c:pt>
                <c:pt idx="10">
                  <c:v>660.45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900.08</c:v>
                </c:pt>
                <c:pt idx="15">
                  <c:v>960.12</c:v>
                </c:pt>
                <c:pt idx="16">
                  <c:v>1020.16</c:v>
                </c:pt>
                <c:pt idx="17">
                  <c:v>1080.2</c:v>
                </c:pt>
                <c:pt idx="18">
                  <c:v>1140.24</c:v>
                </c:pt>
                <c:pt idx="19">
                  <c:v>1200.28</c:v>
                </c:pt>
                <c:pt idx="20">
                  <c:v>1260.33</c:v>
                </c:pt>
                <c:pt idx="21">
                  <c:v>1320.37</c:v>
                </c:pt>
                <c:pt idx="22">
                  <c:v>1380.4099999999999</c:v>
                </c:pt>
                <c:pt idx="23">
                  <c:v>1440.45</c:v>
                </c:pt>
                <c:pt idx="24">
                  <c:v>1500.49</c:v>
                </c:pt>
                <c:pt idx="25">
                  <c:v>1560.53</c:v>
                </c:pt>
                <c:pt idx="26">
                  <c:v>1620.5700000000002</c:v>
                </c:pt>
                <c:pt idx="27">
                  <c:v>1680.6100000000001</c:v>
                </c:pt>
                <c:pt idx="28">
                  <c:v>1740.65</c:v>
                </c:pt>
                <c:pt idx="29">
                  <c:v>1800.69</c:v>
                </c:pt>
                <c:pt idx="30">
                  <c:v>1860.73</c:v>
                </c:pt>
                <c:pt idx="31">
                  <c:v>1920.77</c:v>
                </c:pt>
                <c:pt idx="32">
                  <c:v>1980.81</c:v>
                </c:pt>
                <c:pt idx="33">
                  <c:v>2040.85</c:v>
                </c:pt>
                <c:pt idx="34">
                  <c:v>2100.8900000000003</c:v>
                </c:pt>
                <c:pt idx="35">
                  <c:v>2160.94</c:v>
                </c:pt>
                <c:pt idx="36">
                  <c:v>2220.98</c:v>
                </c:pt>
                <c:pt idx="37">
                  <c:v>2281.02</c:v>
                </c:pt>
                <c:pt idx="38">
                  <c:v>2341.06</c:v>
                </c:pt>
                <c:pt idx="39">
                  <c:v>2401.1</c:v>
                </c:pt>
                <c:pt idx="40">
                  <c:v>2461.1400000000003</c:v>
                </c:pt>
                <c:pt idx="41">
                  <c:v>2521.1800000000003</c:v>
                </c:pt>
                <c:pt idx="42">
                  <c:v>2581.2200000000003</c:v>
                </c:pt>
                <c:pt idx="43">
                  <c:v>2641.26</c:v>
                </c:pt>
                <c:pt idx="44">
                  <c:v>2701.05</c:v>
                </c:pt>
              </c:numCache>
            </c:numRef>
          </c:cat>
          <c:val>
            <c:numRef>
              <c:f>Results!$L$5:$L$49</c:f>
              <c:numCache>
                <c:formatCode>General</c:formatCode>
                <c:ptCount val="45"/>
                <c:pt idx="0">
                  <c:v>62</c:v>
                </c:pt>
                <c:pt idx="1">
                  <c:v>50</c:v>
                </c:pt>
                <c:pt idx="2">
                  <c:v>48</c:v>
                </c:pt>
                <c:pt idx="3">
                  <c:v>62</c:v>
                </c:pt>
                <c:pt idx="4">
                  <c:v>43</c:v>
                </c:pt>
                <c:pt idx="5">
                  <c:v>59</c:v>
                </c:pt>
                <c:pt idx="6">
                  <c:v>73</c:v>
                </c:pt>
                <c:pt idx="7">
                  <c:v>48</c:v>
                </c:pt>
                <c:pt idx="8">
                  <c:v>50</c:v>
                </c:pt>
                <c:pt idx="9">
                  <c:v>52</c:v>
                </c:pt>
                <c:pt idx="10">
                  <c:v>55</c:v>
                </c:pt>
                <c:pt idx="14">
                  <c:v>45</c:v>
                </c:pt>
                <c:pt idx="15">
                  <c:v>63</c:v>
                </c:pt>
                <c:pt idx="16">
                  <c:v>50</c:v>
                </c:pt>
                <c:pt idx="17">
                  <c:v>50</c:v>
                </c:pt>
                <c:pt idx="18">
                  <c:v>57</c:v>
                </c:pt>
                <c:pt idx="19">
                  <c:v>70</c:v>
                </c:pt>
                <c:pt idx="20">
                  <c:v>44</c:v>
                </c:pt>
                <c:pt idx="21">
                  <c:v>61</c:v>
                </c:pt>
                <c:pt idx="22">
                  <c:v>59</c:v>
                </c:pt>
                <c:pt idx="23">
                  <c:v>59</c:v>
                </c:pt>
                <c:pt idx="24">
                  <c:v>57</c:v>
                </c:pt>
                <c:pt idx="25">
                  <c:v>59</c:v>
                </c:pt>
                <c:pt idx="26">
                  <c:v>55</c:v>
                </c:pt>
                <c:pt idx="27">
                  <c:v>57</c:v>
                </c:pt>
                <c:pt idx="28">
                  <c:v>69</c:v>
                </c:pt>
                <c:pt idx="29">
                  <c:v>65</c:v>
                </c:pt>
                <c:pt idx="30">
                  <c:v>66</c:v>
                </c:pt>
                <c:pt idx="31">
                  <c:v>55</c:v>
                </c:pt>
                <c:pt idx="32">
                  <c:v>27</c:v>
                </c:pt>
                <c:pt idx="33">
                  <c:v>63</c:v>
                </c:pt>
                <c:pt idx="34">
                  <c:v>56</c:v>
                </c:pt>
                <c:pt idx="35">
                  <c:v>44</c:v>
                </c:pt>
                <c:pt idx="36">
                  <c:v>56</c:v>
                </c:pt>
                <c:pt idx="37">
                  <c:v>58</c:v>
                </c:pt>
                <c:pt idx="38">
                  <c:v>63</c:v>
                </c:pt>
                <c:pt idx="39">
                  <c:v>62</c:v>
                </c:pt>
                <c:pt idx="40">
                  <c:v>48</c:v>
                </c:pt>
                <c:pt idx="41">
                  <c:v>58</c:v>
                </c:pt>
                <c:pt idx="42">
                  <c:v>55</c:v>
                </c:pt>
                <c:pt idx="43">
                  <c:v>64</c:v>
                </c:pt>
                <c:pt idx="44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7F-4753-AE2B-C85C8F9D1705}"/>
            </c:ext>
          </c:extLst>
        </c:ser>
        <c:ser>
          <c:idx val="2"/>
          <c:order val="1"/>
          <c:tx>
            <c:strRef>
              <c:f>Results!$N$4</c:f>
              <c:strCache>
                <c:ptCount val="1"/>
                <c:pt idx="0">
                  <c:v>total_merge (w/o motorcycles)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movingAvg"/>
            <c:period val="10"/>
            <c:dispRSqr val="0"/>
            <c:dispEq val="0"/>
          </c:trendline>
          <c:cat>
            <c:numRef>
              <c:f>Results!$A$5:$A$49</c:f>
              <c:numCache>
                <c:formatCode>General</c:formatCode>
                <c:ptCount val="45"/>
                <c:pt idx="0">
                  <c:v>60.04</c:v>
                </c:pt>
                <c:pt idx="1">
                  <c:v>120.08</c:v>
                </c:pt>
                <c:pt idx="2">
                  <c:v>180.12</c:v>
                </c:pt>
                <c:pt idx="3">
                  <c:v>240.16</c:v>
                </c:pt>
                <c:pt idx="4">
                  <c:v>300.2</c:v>
                </c:pt>
                <c:pt idx="5">
                  <c:v>360.24</c:v>
                </c:pt>
                <c:pt idx="6">
                  <c:v>420.28</c:v>
                </c:pt>
                <c:pt idx="7">
                  <c:v>480.33</c:v>
                </c:pt>
                <c:pt idx="8">
                  <c:v>540.37</c:v>
                </c:pt>
                <c:pt idx="9">
                  <c:v>600.41</c:v>
                </c:pt>
                <c:pt idx="10">
                  <c:v>660.45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900.08</c:v>
                </c:pt>
                <c:pt idx="15">
                  <c:v>960.12</c:v>
                </c:pt>
                <c:pt idx="16">
                  <c:v>1020.16</c:v>
                </c:pt>
                <c:pt idx="17">
                  <c:v>1080.2</c:v>
                </c:pt>
                <c:pt idx="18">
                  <c:v>1140.24</c:v>
                </c:pt>
                <c:pt idx="19">
                  <c:v>1200.28</c:v>
                </c:pt>
                <c:pt idx="20">
                  <c:v>1260.33</c:v>
                </c:pt>
                <c:pt idx="21">
                  <c:v>1320.37</c:v>
                </c:pt>
                <c:pt idx="22">
                  <c:v>1380.4099999999999</c:v>
                </c:pt>
                <c:pt idx="23">
                  <c:v>1440.45</c:v>
                </c:pt>
                <c:pt idx="24">
                  <c:v>1500.49</c:v>
                </c:pt>
                <c:pt idx="25">
                  <c:v>1560.53</c:v>
                </c:pt>
                <c:pt idx="26">
                  <c:v>1620.5700000000002</c:v>
                </c:pt>
                <c:pt idx="27">
                  <c:v>1680.6100000000001</c:v>
                </c:pt>
                <c:pt idx="28">
                  <c:v>1740.65</c:v>
                </c:pt>
                <c:pt idx="29">
                  <c:v>1800.69</c:v>
                </c:pt>
                <c:pt idx="30">
                  <c:v>1860.73</c:v>
                </c:pt>
                <c:pt idx="31">
                  <c:v>1920.77</c:v>
                </c:pt>
                <c:pt idx="32">
                  <c:v>1980.81</c:v>
                </c:pt>
                <c:pt idx="33">
                  <c:v>2040.85</c:v>
                </c:pt>
                <c:pt idx="34">
                  <c:v>2100.8900000000003</c:v>
                </c:pt>
                <c:pt idx="35">
                  <c:v>2160.94</c:v>
                </c:pt>
                <c:pt idx="36">
                  <c:v>2220.98</c:v>
                </c:pt>
                <c:pt idx="37">
                  <c:v>2281.02</c:v>
                </c:pt>
                <c:pt idx="38">
                  <c:v>2341.06</c:v>
                </c:pt>
                <c:pt idx="39">
                  <c:v>2401.1</c:v>
                </c:pt>
                <c:pt idx="40">
                  <c:v>2461.1400000000003</c:v>
                </c:pt>
                <c:pt idx="41">
                  <c:v>2521.1800000000003</c:v>
                </c:pt>
                <c:pt idx="42">
                  <c:v>2581.2200000000003</c:v>
                </c:pt>
                <c:pt idx="43">
                  <c:v>2641.26</c:v>
                </c:pt>
                <c:pt idx="44">
                  <c:v>2701.05</c:v>
                </c:pt>
              </c:numCache>
            </c:numRef>
          </c:cat>
          <c:val>
            <c:numRef>
              <c:f>Results!$N$5:$N$49</c:f>
              <c:numCache>
                <c:formatCode>General</c:formatCode>
                <c:ptCount val="45"/>
                <c:pt idx="0">
                  <c:v>27</c:v>
                </c:pt>
                <c:pt idx="1">
                  <c:v>44</c:v>
                </c:pt>
                <c:pt idx="2">
                  <c:v>34</c:v>
                </c:pt>
                <c:pt idx="3">
                  <c:v>28</c:v>
                </c:pt>
                <c:pt idx="4">
                  <c:v>27</c:v>
                </c:pt>
                <c:pt idx="5">
                  <c:v>36</c:v>
                </c:pt>
                <c:pt idx="6">
                  <c:v>25</c:v>
                </c:pt>
                <c:pt idx="7">
                  <c:v>30</c:v>
                </c:pt>
                <c:pt idx="8">
                  <c:v>34</c:v>
                </c:pt>
                <c:pt idx="9">
                  <c:v>34</c:v>
                </c:pt>
                <c:pt idx="10">
                  <c:v>24</c:v>
                </c:pt>
                <c:pt idx="14">
                  <c:v>40</c:v>
                </c:pt>
                <c:pt idx="15">
                  <c:v>23</c:v>
                </c:pt>
                <c:pt idx="16">
                  <c:v>40</c:v>
                </c:pt>
                <c:pt idx="17">
                  <c:v>34</c:v>
                </c:pt>
                <c:pt idx="18">
                  <c:v>36</c:v>
                </c:pt>
                <c:pt idx="19">
                  <c:v>31</c:v>
                </c:pt>
                <c:pt idx="20">
                  <c:v>34</c:v>
                </c:pt>
                <c:pt idx="21">
                  <c:v>24</c:v>
                </c:pt>
                <c:pt idx="22">
                  <c:v>34</c:v>
                </c:pt>
                <c:pt idx="23">
                  <c:v>22</c:v>
                </c:pt>
                <c:pt idx="24">
                  <c:v>35</c:v>
                </c:pt>
                <c:pt idx="25">
                  <c:v>24</c:v>
                </c:pt>
                <c:pt idx="26">
                  <c:v>30</c:v>
                </c:pt>
                <c:pt idx="27">
                  <c:v>34</c:v>
                </c:pt>
                <c:pt idx="28">
                  <c:v>32</c:v>
                </c:pt>
                <c:pt idx="29">
                  <c:v>19</c:v>
                </c:pt>
                <c:pt idx="30">
                  <c:v>19</c:v>
                </c:pt>
                <c:pt idx="31">
                  <c:v>28</c:v>
                </c:pt>
                <c:pt idx="32">
                  <c:v>49</c:v>
                </c:pt>
                <c:pt idx="33">
                  <c:v>29</c:v>
                </c:pt>
                <c:pt idx="34">
                  <c:v>34</c:v>
                </c:pt>
                <c:pt idx="35">
                  <c:v>36</c:v>
                </c:pt>
                <c:pt idx="36">
                  <c:v>30</c:v>
                </c:pt>
                <c:pt idx="37">
                  <c:v>26</c:v>
                </c:pt>
                <c:pt idx="38">
                  <c:v>22</c:v>
                </c:pt>
                <c:pt idx="39">
                  <c:v>23</c:v>
                </c:pt>
                <c:pt idx="40">
                  <c:v>28</c:v>
                </c:pt>
                <c:pt idx="41">
                  <c:v>25</c:v>
                </c:pt>
                <c:pt idx="42">
                  <c:v>35</c:v>
                </c:pt>
                <c:pt idx="43">
                  <c:v>30</c:v>
                </c:pt>
                <c:pt idx="4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7F-4753-AE2B-C85C8F9D1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3568775"/>
        <c:axId val="1793570823"/>
      </c:lineChart>
      <c:catAx>
        <c:axId val="1793568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570823"/>
        <c:crosses val="autoZero"/>
        <c:auto val="1"/>
        <c:lblAlgn val="ctr"/>
        <c:lblOffset val="100"/>
        <c:noMultiLvlLbl val="0"/>
      </c:catAx>
      <c:valAx>
        <c:axId val="1793570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veh/min (approx)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568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Results!$P$4</c:f>
              <c:strCache>
                <c:ptCount val="1"/>
                <c:pt idx="0">
                  <c:v>total (w/o motorcycles)</c:v>
                </c:pt>
              </c:strCache>
            </c:strRef>
          </c:tx>
          <c:spPr>
            <a:ln w="28575" cap="rnd">
              <a:solidFill>
                <a:srgbClr val="4F81BD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4F81BD"/>
                </a:solidFill>
                <a:prstDash val="sysDot"/>
              </a:ln>
              <a:effectLst/>
            </c:spPr>
            <c:trendlineType val="movingAvg"/>
            <c:period val="10"/>
            <c:dispRSqr val="0"/>
            <c:dispEq val="0"/>
          </c:trendline>
          <c:cat>
            <c:numRef>
              <c:f>Results!$A$5:$A$49</c:f>
              <c:numCache>
                <c:formatCode>General</c:formatCode>
                <c:ptCount val="45"/>
                <c:pt idx="0">
                  <c:v>60.04</c:v>
                </c:pt>
                <c:pt idx="1">
                  <c:v>120.08</c:v>
                </c:pt>
                <c:pt idx="2">
                  <c:v>180.12</c:v>
                </c:pt>
                <c:pt idx="3">
                  <c:v>240.16</c:v>
                </c:pt>
                <c:pt idx="4">
                  <c:v>300.2</c:v>
                </c:pt>
                <c:pt idx="5">
                  <c:v>360.24</c:v>
                </c:pt>
                <c:pt idx="6">
                  <c:v>420.28</c:v>
                </c:pt>
                <c:pt idx="7">
                  <c:v>480.33</c:v>
                </c:pt>
                <c:pt idx="8">
                  <c:v>540.37</c:v>
                </c:pt>
                <c:pt idx="9">
                  <c:v>600.41</c:v>
                </c:pt>
                <c:pt idx="10">
                  <c:v>660.45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900.08</c:v>
                </c:pt>
                <c:pt idx="15">
                  <c:v>960.12</c:v>
                </c:pt>
                <c:pt idx="16">
                  <c:v>1020.16</c:v>
                </c:pt>
                <c:pt idx="17">
                  <c:v>1080.2</c:v>
                </c:pt>
                <c:pt idx="18">
                  <c:v>1140.24</c:v>
                </c:pt>
                <c:pt idx="19">
                  <c:v>1200.28</c:v>
                </c:pt>
                <c:pt idx="20">
                  <c:v>1260.33</c:v>
                </c:pt>
                <c:pt idx="21">
                  <c:v>1320.37</c:v>
                </c:pt>
                <c:pt idx="22">
                  <c:v>1380.4099999999999</c:v>
                </c:pt>
                <c:pt idx="23">
                  <c:v>1440.45</c:v>
                </c:pt>
                <c:pt idx="24">
                  <c:v>1500.49</c:v>
                </c:pt>
                <c:pt idx="25">
                  <c:v>1560.53</c:v>
                </c:pt>
                <c:pt idx="26">
                  <c:v>1620.5700000000002</c:v>
                </c:pt>
                <c:pt idx="27">
                  <c:v>1680.6100000000001</c:v>
                </c:pt>
                <c:pt idx="28">
                  <c:v>1740.65</c:v>
                </c:pt>
                <c:pt idx="29">
                  <c:v>1800.69</c:v>
                </c:pt>
                <c:pt idx="30">
                  <c:v>1860.73</c:v>
                </c:pt>
                <c:pt idx="31">
                  <c:v>1920.77</c:v>
                </c:pt>
                <c:pt idx="32">
                  <c:v>1980.81</c:v>
                </c:pt>
                <c:pt idx="33">
                  <c:v>2040.85</c:v>
                </c:pt>
                <c:pt idx="34">
                  <c:v>2100.8900000000003</c:v>
                </c:pt>
                <c:pt idx="35">
                  <c:v>2160.94</c:v>
                </c:pt>
                <c:pt idx="36">
                  <c:v>2220.98</c:v>
                </c:pt>
                <c:pt idx="37">
                  <c:v>2281.02</c:v>
                </c:pt>
                <c:pt idx="38">
                  <c:v>2341.06</c:v>
                </c:pt>
                <c:pt idx="39">
                  <c:v>2401.1</c:v>
                </c:pt>
                <c:pt idx="40">
                  <c:v>2461.1400000000003</c:v>
                </c:pt>
                <c:pt idx="41">
                  <c:v>2521.1800000000003</c:v>
                </c:pt>
                <c:pt idx="42">
                  <c:v>2581.2200000000003</c:v>
                </c:pt>
                <c:pt idx="43">
                  <c:v>2641.26</c:v>
                </c:pt>
                <c:pt idx="44">
                  <c:v>2701.05</c:v>
                </c:pt>
              </c:numCache>
            </c:numRef>
          </c:cat>
          <c:val>
            <c:numRef>
              <c:f>Results!$P$5:$P$49</c:f>
              <c:numCache>
                <c:formatCode>General</c:formatCode>
                <c:ptCount val="45"/>
                <c:pt idx="0">
                  <c:v>89</c:v>
                </c:pt>
                <c:pt idx="1">
                  <c:v>94</c:v>
                </c:pt>
                <c:pt idx="2">
                  <c:v>82</c:v>
                </c:pt>
                <c:pt idx="3">
                  <c:v>90</c:v>
                </c:pt>
                <c:pt idx="4">
                  <c:v>70</c:v>
                </c:pt>
                <c:pt idx="5">
                  <c:v>95</c:v>
                </c:pt>
                <c:pt idx="6">
                  <c:v>98</c:v>
                </c:pt>
                <c:pt idx="7">
                  <c:v>78</c:v>
                </c:pt>
                <c:pt idx="8">
                  <c:v>84</c:v>
                </c:pt>
                <c:pt idx="9">
                  <c:v>86</c:v>
                </c:pt>
                <c:pt idx="10">
                  <c:v>79</c:v>
                </c:pt>
                <c:pt idx="14">
                  <c:v>85</c:v>
                </c:pt>
                <c:pt idx="15">
                  <c:v>86</c:v>
                </c:pt>
                <c:pt idx="16">
                  <c:v>90</c:v>
                </c:pt>
                <c:pt idx="17">
                  <c:v>84</c:v>
                </c:pt>
                <c:pt idx="18">
                  <c:v>93</c:v>
                </c:pt>
                <c:pt idx="19">
                  <c:v>101</c:v>
                </c:pt>
                <c:pt idx="20">
                  <c:v>78</c:v>
                </c:pt>
                <c:pt idx="21">
                  <c:v>85</c:v>
                </c:pt>
                <c:pt idx="22">
                  <c:v>93</c:v>
                </c:pt>
                <c:pt idx="23">
                  <c:v>81</c:v>
                </c:pt>
                <c:pt idx="24">
                  <c:v>92</c:v>
                </c:pt>
                <c:pt idx="25">
                  <c:v>83</c:v>
                </c:pt>
                <c:pt idx="26">
                  <c:v>85</c:v>
                </c:pt>
                <c:pt idx="27">
                  <c:v>91</c:v>
                </c:pt>
                <c:pt idx="28">
                  <c:v>101</c:v>
                </c:pt>
                <c:pt idx="29">
                  <c:v>84</c:v>
                </c:pt>
                <c:pt idx="30">
                  <c:v>85</c:v>
                </c:pt>
                <c:pt idx="31">
                  <c:v>83</c:v>
                </c:pt>
                <c:pt idx="32">
                  <c:v>76</c:v>
                </c:pt>
                <c:pt idx="33">
                  <c:v>92</c:v>
                </c:pt>
                <c:pt idx="34">
                  <c:v>90</c:v>
                </c:pt>
                <c:pt idx="35">
                  <c:v>80</c:v>
                </c:pt>
                <c:pt idx="36">
                  <c:v>86</c:v>
                </c:pt>
                <c:pt idx="37">
                  <c:v>84</c:v>
                </c:pt>
                <c:pt idx="38">
                  <c:v>85</c:v>
                </c:pt>
                <c:pt idx="39">
                  <c:v>85</c:v>
                </c:pt>
                <c:pt idx="40">
                  <c:v>76</c:v>
                </c:pt>
                <c:pt idx="41">
                  <c:v>83</c:v>
                </c:pt>
                <c:pt idx="42">
                  <c:v>90</c:v>
                </c:pt>
                <c:pt idx="43">
                  <c:v>94</c:v>
                </c:pt>
                <c:pt idx="44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3E-4B1D-8EB8-FCD42683B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2965895"/>
        <c:axId val="55121928"/>
      </c:lineChart>
      <c:catAx>
        <c:axId val="1732965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1928"/>
        <c:crosses val="autoZero"/>
        <c:auto val="1"/>
        <c:lblAlgn val="ctr"/>
        <c:lblOffset val="100"/>
        <c:noMultiLvlLbl val="0"/>
      </c:catAx>
      <c:valAx>
        <c:axId val="5512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veh/min (approx)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965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781050</xdr:colOff>
      <xdr:row>3</xdr:row>
      <xdr:rowOff>123825</xdr:rowOff>
    </xdr:from>
    <xdr:to>
      <xdr:col>10</xdr:col>
      <xdr:colOff>9525</xdr:colOff>
      <xdr:row>26</xdr:row>
      <xdr:rowOff>142875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5DA74A2-25E0-8A29-C81F-399E2B024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180975</xdr:colOff>
      <xdr:row>4</xdr:row>
      <xdr:rowOff>171450</xdr:rowOff>
    </xdr:from>
    <xdr:to>
      <xdr:col>14</xdr:col>
      <xdr:colOff>200025</xdr:colOff>
      <xdr:row>24</xdr:row>
      <xdr:rowOff>152400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6321A52-4AE6-E8E8-48D5-450D9BAA01DF}"/>
            </a:ext>
            <a:ext uri="{147F2762-F138-4A5C-976F-8EAC2B608ADB}">
              <a16:predDERef xmlns:a16="http://schemas.microsoft.com/office/drawing/2014/main" pred="{05DA74A2-25E0-8A29-C81F-399E2B024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005F-5BDB-46F7-94C6-1B62B3F22425}">
  <dimension ref="A1:Q49"/>
  <sheetViews>
    <sheetView tabSelected="1" topLeftCell="D1" workbookViewId="0">
      <selection activeCell="D8" sqref="D8"/>
    </sheetView>
  </sheetViews>
  <sheetFormatPr defaultRowHeight="15"/>
  <cols>
    <col min="1" max="1" width="11.125" customWidth="1"/>
    <col min="2" max="2" width="12.875" customWidth="1"/>
    <col min="3" max="3" width="14.125" customWidth="1"/>
    <col min="4" max="4" width="13.125" customWidth="1"/>
    <col min="5" max="5" width="13.75" customWidth="1"/>
    <col min="7" max="7" width="11" customWidth="1"/>
    <col min="8" max="8" width="15.125" customWidth="1"/>
    <col min="9" max="9" width="12.25" customWidth="1"/>
    <col min="12" max="12" width="22.875" customWidth="1"/>
    <col min="13" max="13" width="12.25" customWidth="1"/>
    <col min="14" max="14" width="15.875" customWidth="1"/>
    <col min="16" max="16" width="15.125" customWidth="1"/>
  </cols>
  <sheetData>
    <row r="1" spans="1:17">
      <c r="B1" t="s">
        <v>0</v>
      </c>
      <c r="C1" s="3">
        <v>46100</v>
      </c>
      <c r="D1" s="4">
        <v>0.77187499999999998</v>
      </c>
      <c r="F1" t="s">
        <v>1</v>
      </c>
      <c r="J1" s="5" t="s">
        <v>2</v>
      </c>
      <c r="K1" s="5"/>
      <c r="L1" s="5"/>
      <c r="M1" s="5"/>
    </row>
    <row r="2" spans="1:17">
      <c r="C2" s="3"/>
      <c r="D2" s="4"/>
      <c r="L2">
        <f>SUM(L5:L49)</f>
        <v>2348</v>
      </c>
      <c r="M2" t="s">
        <v>3</v>
      </c>
      <c r="N2">
        <f>SUM(N5:N49)</f>
        <v>1279</v>
      </c>
      <c r="O2" t="s">
        <v>3</v>
      </c>
      <c r="P2">
        <f>SUM(P5:P49)</f>
        <v>3627</v>
      </c>
      <c r="Q2" t="s">
        <v>3</v>
      </c>
    </row>
    <row r="3" spans="1:17">
      <c r="C3" s="3"/>
      <c r="D3" s="4"/>
      <c r="L3">
        <f>L2*60/43</f>
        <v>3276.2790697674418</v>
      </c>
      <c r="M3" t="s">
        <v>4</v>
      </c>
      <c r="N3">
        <f>N2*60/43</f>
        <v>1784.6511627906978</v>
      </c>
      <c r="O3" t="s">
        <v>4</v>
      </c>
      <c r="P3">
        <f>P2*60/43</f>
        <v>5060.9302325581393</v>
      </c>
      <c r="Q3" t="s">
        <v>4</v>
      </c>
    </row>
    <row r="4" spans="1:17">
      <c r="A4" t="s">
        <v>5</v>
      </c>
      <c r="B4" t="s">
        <v>6</v>
      </c>
      <c r="C4" t="s">
        <v>7</v>
      </c>
      <c r="D4" t="s">
        <v>8</v>
      </c>
      <c r="E4" t="s">
        <v>9</v>
      </c>
      <c r="G4" t="s">
        <v>10</v>
      </c>
      <c r="H4" t="s">
        <v>11</v>
      </c>
      <c r="I4" t="s">
        <v>12</v>
      </c>
      <c r="J4" t="s">
        <v>13</v>
      </c>
      <c r="L4" t="s">
        <v>14</v>
      </c>
      <c r="N4" t="s">
        <v>15</v>
      </c>
      <c r="P4" t="s">
        <v>16</v>
      </c>
    </row>
    <row r="5" spans="1:17">
      <c r="A5">
        <v>60.04</v>
      </c>
      <c r="B5">
        <v>50</v>
      </c>
      <c r="C5">
        <v>15</v>
      </c>
      <c r="D5">
        <v>0</v>
      </c>
      <c r="E5">
        <v>12</v>
      </c>
      <c r="G5">
        <v>22</v>
      </c>
      <c r="H5">
        <v>2</v>
      </c>
      <c r="I5">
        <v>2</v>
      </c>
      <c r="J5">
        <v>3</v>
      </c>
      <c r="L5">
        <v>62</v>
      </c>
      <c r="N5">
        <v>27</v>
      </c>
      <c r="P5">
        <f>L5+N5</f>
        <v>89</v>
      </c>
    </row>
    <row r="6" spans="1:17">
      <c r="A6">
        <v>120.08</v>
      </c>
      <c r="B6">
        <v>46</v>
      </c>
      <c r="C6">
        <v>24</v>
      </c>
      <c r="D6">
        <v>4</v>
      </c>
      <c r="E6">
        <v>0</v>
      </c>
      <c r="G6">
        <v>28</v>
      </c>
      <c r="H6">
        <v>0</v>
      </c>
      <c r="I6">
        <v>0</v>
      </c>
      <c r="J6">
        <v>16</v>
      </c>
      <c r="L6">
        <v>50</v>
      </c>
      <c r="N6">
        <v>44</v>
      </c>
      <c r="P6">
        <f>L6+N6</f>
        <v>94</v>
      </c>
    </row>
    <row r="7" spans="1:17">
      <c r="A7">
        <v>180.12</v>
      </c>
      <c r="B7">
        <v>42</v>
      </c>
      <c r="C7">
        <v>22</v>
      </c>
      <c r="D7">
        <v>1</v>
      </c>
      <c r="E7">
        <v>5</v>
      </c>
      <c r="G7">
        <v>33</v>
      </c>
      <c r="H7">
        <v>3</v>
      </c>
      <c r="I7">
        <v>1</v>
      </c>
      <c r="J7">
        <v>0</v>
      </c>
      <c r="L7">
        <v>48</v>
      </c>
      <c r="N7">
        <v>34</v>
      </c>
      <c r="P7">
        <f>L7+N7</f>
        <v>82</v>
      </c>
    </row>
    <row r="8" spans="1:17">
      <c r="A8">
        <v>240.16</v>
      </c>
      <c r="B8">
        <v>52</v>
      </c>
      <c r="C8">
        <v>33</v>
      </c>
      <c r="D8">
        <v>2</v>
      </c>
      <c r="E8">
        <v>8</v>
      </c>
      <c r="G8">
        <v>30</v>
      </c>
      <c r="H8">
        <v>4</v>
      </c>
      <c r="I8">
        <v>-1</v>
      </c>
      <c r="J8">
        <v>-1</v>
      </c>
      <c r="L8">
        <v>62</v>
      </c>
      <c r="N8">
        <v>28</v>
      </c>
      <c r="P8">
        <f>L8+N8</f>
        <v>90</v>
      </c>
    </row>
    <row r="9" spans="1:17">
      <c r="A9">
        <v>300.2</v>
      </c>
      <c r="B9">
        <v>35</v>
      </c>
      <c r="C9">
        <v>20</v>
      </c>
      <c r="D9">
        <v>-1</v>
      </c>
      <c r="E9">
        <v>9</v>
      </c>
      <c r="G9">
        <v>23</v>
      </c>
      <c r="H9">
        <v>0</v>
      </c>
      <c r="I9">
        <v>1</v>
      </c>
      <c r="J9">
        <v>3</v>
      </c>
      <c r="L9">
        <v>43</v>
      </c>
      <c r="N9">
        <v>27</v>
      </c>
      <c r="P9">
        <f>L9+N9</f>
        <v>70</v>
      </c>
    </row>
    <row r="10" spans="1:17">
      <c r="A10">
        <v>360.24</v>
      </c>
      <c r="B10">
        <v>52</v>
      </c>
      <c r="C10">
        <v>21</v>
      </c>
      <c r="D10">
        <v>0</v>
      </c>
      <c r="E10">
        <v>7</v>
      </c>
      <c r="G10">
        <v>31</v>
      </c>
      <c r="H10">
        <v>-1</v>
      </c>
      <c r="I10">
        <v>2</v>
      </c>
      <c r="J10">
        <v>3</v>
      </c>
      <c r="L10">
        <v>59</v>
      </c>
      <c r="N10">
        <v>36</v>
      </c>
      <c r="P10">
        <f>L10+N10</f>
        <v>95</v>
      </c>
    </row>
    <row r="11" spans="1:17">
      <c r="A11">
        <v>420.28</v>
      </c>
      <c r="B11">
        <v>60</v>
      </c>
      <c r="C11">
        <v>34</v>
      </c>
      <c r="D11">
        <v>1</v>
      </c>
      <c r="E11">
        <v>12</v>
      </c>
      <c r="G11">
        <v>21</v>
      </c>
      <c r="H11">
        <v>-1</v>
      </c>
      <c r="I11">
        <v>1</v>
      </c>
      <c r="J11">
        <v>3</v>
      </c>
      <c r="L11">
        <v>73</v>
      </c>
      <c r="N11">
        <v>25</v>
      </c>
      <c r="P11">
        <f>L11+N11</f>
        <v>98</v>
      </c>
    </row>
    <row r="12" spans="1:17">
      <c r="A12">
        <v>480.33</v>
      </c>
      <c r="B12">
        <v>41</v>
      </c>
      <c r="C12">
        <v>18</v>
      </c>
      <c r="D12">
        <v>0</v>
      </c>
      <c r="E12">
        <v>7</v>
      </c>
      <c r="G12">
        <v>27</v>
      </c>
      <c r="H12">
        <v>6</v>
      </c>
      <c r="I12">
        <v>0</v>
      </c>
      <c r="J12">
        <v>3</v>
      </c>
      <c r="L12">
        <v>48</v>
      </c>
      <c r="N12">
        <v>30</v>
      </c>
      <c r="P12">
        <f>L12+N12</f>
        <v>78</v>
      </c>
    </row>
    <row r="13" spans="1:17">
      <c r="A13">
        <v>540.37</v>
      </c>
      <c r="B13">
        <v>40</v>
      </c>
      <c r="C13">
        <v>28</v>
      </c>
      <c r="D13">
        <v>0</v>
      </c>
      <c r="E13">
        <v>10</v>
      </c>
      <c r="G13">
        <v>31</v>
      </c>
      <c r="H13">
        <v>0</v>
      </c>
      <c r="I13">
        <v>0</v>
      </c>
      <c r="J13">
        <v>3</v>
      </c>
      <c r="L13">
        <v>50</v>
      </c>
      <c r="N13">
        <v>34</v>
      </c>
      <c r="P13">
        <f>L13+N13</f>
        <v>84</v>
      </c>
    </row>
    <row r="14" spans="1:17">
      <c r="A14">
        <v>600.41</v>
      </c>
      <c r="B14">
        <v>42</v>
      </c>
      <c r="C14">
        <v>17</v>
      </c>
      <c r="D14">
        <v>0</v>
      </c>
      <c r="E14">
        <v>10</v>
      </c>
      <c r="G14">
        <v>31</v>
      </c>
      <c r="H14">
        <v>1</v>
      </c>
      <c r="I14">
        <v>1</v>
      </c>
      <c r="J14">
        <v>2</v>
      </c>
      <c r="L14">
        <v>52</v>
      </c>
      <c r="N14">
        <v>34</v>
      </c>
      <c r="P14">
        <f>L14+N14</f>
        <v>86</v>
      </c>
    </row>
    <row r="15" spans="1:17">
      <c r="A15">
        <v>660.45</v>
      </c>
      <c r="B15">
        <v>45</v>
      </c>
      <c r="C15">
        <v>15</v>
      </c>
      <c r="D15">
        <v>2</v>
      </c>
      <c r="E15">
        <v>8</v>
      </c>
      <c r="G15">
        <v>21</v>
      </c>
      <c r="H15">
        <v>0</v>
      </c>
      <c r="I15">
        <v>0</v>
      </c>
      <c r="J15">
        <v>3</v>
      </c>
      <c r="L15">
        <v>55</v>
      </c>
      <c r="N15">
        <v>24</v>
      </c>
      <c r="P15">
        <f>L15+N15</f>
        <v>79</v>
      </c>
    </row>
    <row r="16" spans="1:17">
      <c r="A16" s="6">
        <v>720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N16" s="6"/>
    </row>
    <row r="17" spans="1:16">
      <c r="A17" s="6">
        <v>780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N17" s="6"/>
    </row>
    <row r="18" spans="1:16">
      <c r="A18" s="6">
        <v>840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>
        <v>900.08</v>
      </c>
      <c r="B19">
        <v>40</v>
      </c>
      <c r="C19">
        <v>24</v>
      </c>
      <c r="D19">
        <v>0</v>
      </c>
      <c r="E19">
        <v>5</v>
      </c>
      <c r="G19">
        <v>36</v>
      </c>
      <c r="H19">
        <v>0</v>
      </c>
      <c r="I19">
        <v>0</v>
      </c>
      <c r="J19">
        <v>4</v>
      </c>
      <c r="L19">
        <v>45</v>
      </c>
      <c r="N19">
        <v>40</v>
      </c>
      <c r="P19">
        <f>L19+N19</f>
        <v>85</v>
      </c>
    </row>
    <row r="20" spans="1:16">
      <c r="A20">
        <v>960.12</v>
      </c>
      <c r="B20">
        <v>44</v>
      </c>
      <c r="C20">
        <v>25</v>
      </c>
      <c r="D20">
        <v>0</v>
      </c>
      <c r="E20">
        <v>19</v>
      </c>
      <c r="G20">
        <v>26</v>
      </c>
      <c r="H20">
        <v>-1</v>
      </c>
      <c r="I20">
        <v>1</v>
      </c>
      <c r="J20">
        <v>-4</v>
      </c>
      <c r="L20">
        <v>63</v>
      </c>
      <c r="N20">
        <v>23</v>
      </c>
      <c r="P20">
        <f>L20+N20</f>
        <v>86</v>
      </c>
    </row>
    <row r="21" spans="1:16">
      <c r="A21">
        <v>1020.16</v>
      </c>
      <c r="B21">
        <v>48</v>
      </c>
      <c r="C21">
        <v>16</v>
      </c>
      <c r="D21">
        <v>1</v>
      </c>
      <c r="E21">
        <v>1</v>
      </c>
      <c r="G21">
        <v>29</v>
      </c>
      <c r="H21">
        <v>6</v>
      </c>
      <c r="I21">
        <v>0</v>
      </c>
      <c r="J21">
        <v>11</v>
      </c>
      <c r="L21">
        <v>50</v>
      </c>
      <c r="N21">
        <v>40</v>
      </c>
      <c r="P21">
        <f>L21+N21</f>
        <v>90</v>
      </c>
    </row>
    <row r="22" spans="1:16">
      <c r="A22">
        <v>1080.2</v>
      </c>
      <c r="B22">
        <v>44</v>
      </c>
      <c r="C22">
        <v>15</v>
      </c>
      <c r="D22">
        <v>-2</v>
      </c>
      <c r="E22">
        <v>8</v>
      </c>
      <c r="G22">
        <v>23</v>
      </c>
      <c r="H22">
        <v>4</v>
      </c>
      <c r="I22">
        <v>3</v>
      </c>
      <c r="J22">
        <v>8</v>
      </c>
      <c r="L22">
        <v>50</v>
      </c>
      <c r="N22">
        <v>34</v>
      </c>
      <c r="P22">
        <f>L22+N22</f>
        <v>84</v>
      </c>
    </row>
    <row r="23" spans="1:16">
      <c r="A23">
        <v>1140.24</v>
      </c>
      <c r="B23">
        <v>51</v>
      </c>
      <c r="C23">
        <v>20</v>
      </c>
      <c r="D23">
        <v>0</v>
      </c>
      <c r="E23">
        <v>6</v>
      </c>
      <c r="G23">
        <v>28</v>
      </c>
      <c r="H23">
        <v>0</v>
      </c>
      <c r="I23">
        <v>1</v>
      </c>
      <c r="J23">
        <v>7</v>
      </c>
      <c r="L23">
        <v>57</v>
      </c>
      <c r="N23">
        <v>36</v>
      </c>
      <c r="P23">
        <f>L23+N23</f>
        <v>93</v>
      </c>
    </row>
    <row r="24" spans="1:16">
      <c r="A24">
        <v>1200.28</v>
      </c>
      <c r="B24">
        <v>61</v>
      </c>
      <c r="C24">
        <v>20</v>
      </c>
      <c r="D24">
        <v>0</v>
      </c>
      <c r="E24">
        <v>9</v>
      </c>
      <c r="G24">
        <v>26</v>
      </c>
      <c r="H24">
        <v>3</v>
      </c>
      <c r="I24">
        <v>0</v>
      </c>
      <c r="J24">
        <v>5</v>
      </c>
      <c r="L24">
        <v>70</v>
      </c>
      <c r="N24">
        <v>31</v>
      </c>
      <c r="P24">
        <f>L24+N24</f>
        <v>101</v>
      </c>
    </row>
    <row r="25" spans="1:16">
      <c r="A25">
        <v>1260.33</v>
      </c>
      <c r="B25">
        <v>34</v>
      </c>
      <c r="C25">
        <v>22</v>
      </c>
      <c r="D25">
        <v>2</v>
      </c>
      <c r="E25">
        <v>8</v>
      </c>
      <c r="G25">
        <v>31</v>
      </c>
      <c r="H25">
        <v>-1</v>
      </c>
      <c r="I25">
        <v>3</v>
      </c>
      <c r="J25">
        <v>0</v>
      </c>
      <c r="L25">
        <v>44</v>
      </c>
      <c r="N25">
        <v>34</v>
      </c>
      <c r="P25">
        <f>L25+N25</f>
        <v>78</v>
      </c>
    </row>
    <row r="26" spans="1:16">
      <c r="A26">
        <v>1320.37</v>
      </c>
      <c r="B26">
        <v>52</v>
      </c>
      <c r="C26">
        <v>10</v>
      </c>
      <c r="D26">
        <v>1</v>
      </c>
      <c r="E26">
        <v>8</v>
      </c>
      <c r="G26">
        <v>20</v>
      </c>
      <c r="H26">
        <v>7</v>
      </c>
      <c r="I26">
        <v>0</v>
      </c>
      <c r="J26">
        <v>4</v>
      </c>
      <c r="L26">
        <v>61</v>
      </c>
      <c r="N26">
        <v>24</v>
      </c>
      <c r="P26">
        <f>L26+N26</f>
        <v>85</v>
      </c>
    </row>
    <row r="27" spans="1:16">
      <c r="A27">
        <v>1380.4099999999999</v>
      </c>
      <c r="B27">
        <v>45</v>
      </c>
      <c r="C27">
        <v>15</v>
      </c>
      <c r="D27">
        <v>2</v>
      </c>
      <c r="E27">
        <v>12</v>
      </c>
      <c r="G27">
        <v>28</v>
      </c>
      <c r="H27">
        <v>0</v>
      </c>
      <c r="I27">
        <v>1</v>
      </c>
      <c r="J27">
        <v>5</v>
      </c>
      <c r="L27">
        <v>59</v>
      </c>
      <c r="N27">
        <v>34</v>
      </c>
      <c r="P27">
        <f>L27+N27</f>
        <v>93</v>
      </c>
    </row>
    <row r="28" spans="1:16">
      <c r="A28">
        <v>1440.45</v>
      </c>
      <c r="B28">
        <v>54</v>
      </c>
      <c r="C28">
        <v>18</v>
      </c>
      <c r="D28">
        <v>1</v>
      </c>
      <c r="E28">
        <v>4</v>
      </c>
      <c r="G28">
        <v>20</v>
      </c>
      <c r="H28">
        <v>2</v>
      </c>
      <c r="I28">
        <v>0</v>
      </c>
      <c r="J28">
        <v>2</v>
      </c>
      <c r="L28">
        <v>59</v>
      </c>
      <c r="N28">
        <v>22</v>
      </c>
      <c r="P28">
        <f>L28+N28</f>
        <v>81</v>
      </c>
    </row>
    <row r="29" spans="1:16">
      <c r="A29">
        <v>1500.49</v>
      </c>
      <c r="B29">
        <v>44</v>
      </c>
      <c r="C29">
        <v>22</v>
      </c>
      <c r="D29">
        <v>4</v>
      </c>
      <c r="E29">
        <v>9</v>
      </c>
      <c r="G29">
        <v>29</v>
      </c>
      <c r="H29">
        <v>-3</v>
      </c>
      <c r="I29">
        <v>1</v>
      </c>
      <c r="J29">
        <v>5</v>
      </c>
      <c r="L29">
        <v>57</v>
      </c>
      <c r="N29">
        <v>35</v>
      </c>
      <c r="P29">
        <f>L29+N29</f>
        <v>92</v>
      </c>
    </row>
    <row r="30" spans="1:16">
      <c r="A30">
        <v>1560.53</v>
      </c>
      <c r="B30">
        <v>50</v>
      </c>
      <c r="C30">
        <v>17</v>
      </c>
      <c r="D30">
        <v>1</v>
      </c>
      <c r="E30">
        <v>8</v>
      </c>
      <c r="G30">
        <v>21</v>
      </c>
      <c r="H30">
        <v>-2</v>
      </c>
      <c r="I30">
        <v>0</v>
      </c>
      <c r="J30">
        <v>3</v>
      </c>
      <c r="L30">
        <v>59</v>
      </c>
      <c r="N30">
        <v>24</v>
      </c>
      <c r="P30">
        <f>L30+N30</f>
        <v>83</v>
      </c>
    </row>
    <row r="31" spans="1:16">
      <c r="A31">
        <v>1620.5700000000002</v>
      </c>
      <c r="B31">
        <v>45</v>
      </c>
      <c r="C31">
        <v>13</v>
      </c>
      <c r="D31">
        <v>0</v>
      </c>
      <c r="E31">
        <v>10</v>
      </c>
      <c r="G31">
        <v>26</v>
      </c>
      <c r="H31">
        <v>2</v>
      </c>
      <c r="I31">
        <v>2</v>
      </c>
      <c r="J31">
        <v>2</v>
      </c>
      <c r="L31">
        <v>55</v>
      </c>
      <c r="N31">
        <v>30</v>
      </c>
      <c r="P31">
        <f>L31+N31</f>
        <v>85</v>
      </c>
    </row>
    <row r="32" spans="1:16">
      <c r="A32">
        <v>1680.6100000000001</v>
      </c>
      <c r="B32">
        <v>41</v>
      </c>
      <c r="C32">
        <v>16</v>
      </c>
      <c r="D32">
        <v>2</v>
      </c>
      <c r="E32">
        <v>14</v>
      </c>
      <c r="G32">
        <v>31</v>
      </c>
      <c r="H32">
        <v>1</v>
      </c>
      <c r="I32">
        <v>-1</v>
      </c>
      <c r="J32">
        <v>4</v>
      </c>
      <c r="L32">
        <v>57</v>
      </c>
      <c r="N32">
        <v>34</v>
      </c>
      <c r="P32">
        <f>L32+N32</f>
        <v>91</v>
      </c>
    </row>
    <row r="33" spans="1:16">
      <c r="A33">
        <v>1740.65</v>
      </c>
      <c r="B33">
        <v>57</v>
      </c>
      <c r="C33">
        <v>18</v>
      </c>
      <c r="D33">
        <v>1</v>
      </c>
      <c r="E33">
        <v>11</v>
      </c>
      <c r="G33">
        <v>18</v>
      </c>
      <c r="H33">
        <v>1</v>
      </c>
      <c r="I33">
        <v>3</v>
      </c>
      <c r="J33">
        <v>11</v>
      </c>
      <c r="L33">
        <v>69</v>
      </c>
      <c r="N33">
        <v>32</v>
      </c>
      <c r="P33">
        <f>L33+N33</f>
        <v>101</v>
      </c>
    </row>
    <row r="34" spans="1:16">
      <c r="A34">
        <v>1800.69</v>
      </c>
      <c r="B34">
        <v>56</v>
      </c>
      <c r="C34">
        <v>18</v>
      </c>
      <c r="D34">
        <v>0</v>
      </c>
      <c r="E34">
        <v>9</v>
      </c>
      <c r="G34">
        <v>16</v>
      </c>
      <c r="H34">
        <v>1</v>
      </c>
      <c r="I34">
        <v>0</v>
      </c>
      <c r="J34">
        <v>3</v>
      </c>
      <c r="L34">
        <v>65</v>
      </c>
      <c r="N34">
        <v>19</v>
      </c>
      <c r="P34">
        <f>L34+N34</f>
        <v>84</v>
      </c>
    </row>
    <row r="35" spans="1:16">
      <c r="A35">
        <v>1860.73</v>
      </c>
      <c r="B35">
        <v>44</v>
      </c>
      <c r="C35">
        <v>21</v>
      </c>
      <c r="D35">
        <v>4</v>
      </c>
      <c r="E35">
        <v>18</v>
      </c>
      <c r="G35">
        <v>16</v>
      </c>
      <c r="H35">
        <v>0</v>
      </c>
      <c r="I35">
        <v>3</v>
      </c>
      <c r="J35">
        <v>0</v>
      </c>
      <c r="L35">
        <v>66</v>
      </c>
      <c r="N35">
        <v>19</v>
      </c>
      <c r="P35">
        <f>L35+N35</f>
        <v>85</v>
      </c>
    </row>
    <row r="36" spans="1:16">
      <c r="A36">
        <v>1920.77</v>
      </c>
      <c r="B36">
        <v>43</v>
      </c>
      <c r="C36">
        <v>8</v>
      </c>
      <c r="D36">
        <v>1</v>
      </c>
      <c r="E36">
        <v>11</v>
      </c>
      <c r="G36">
        <v>26</v>
      </c>
      <c r="H36">
        <v>1</v>
      </c>
      <c r="I36">
        <v>0</v>
      </c>
      <c r="J36">
        <v>2</v>
      </c>
      <c r="L36">
        <v>55</v>
      </c>
      <c r="N36">
        <v>28</v>
      </c>
      <c r="P36">
        <f>L36+N36</f>
        <v>83</v>
      </c>
    </row>
    <row r="37" spans="1:16">
      <c r="A37">
        <v>1980.81</v>
      </c>
      <c r="B37">
        <v>22</v>
      </c>
      <c r="C37">
        <v>27</v>
      </c>
      <c r="D37">
        <v>3</v>
      </c>
      <c r="E37">
        <v>2</v>
      </c>
      <c r="G37">
        <v>41</v>
      </c>
      <c r="H37">
        <v>5</v>
      </c>
      <c r="I37">
        <v>2</v>
      </c>
      <c r="J37">
        <v>6</v>
      </c>
      <c r="L37">
        <v>27</v>
      </c>
      <c r="N37">
        <v>49</v>
      </c>
      <c r="P37">
        <f>L37+N37</f>
        <v>76</v>
      </c>
    </row>
    <row r="38" spans="1:16">
      <c r="A38">
        <v>2040.85</v>
      </c>
      <c r="B38">
        <v>47</v>
      </c>
      <c r="C38">
        <v>17</v>
      </c>
      <c r="D38">
        <v>2</v>
      </c>
      <c r="E38">
        <v>14</v>
      </c>
      <c r="G38">
        <v>26</v>
      </c>
      <c r="H38">
        <v>1</v>
      </c>
      <c r="I38">
        <v>2</v>
      </c>
      <c r="J38">
        <v>1</v>
      </c>
      <c r="L38">
        <v>63</v>
      </c>
      <c r="N38">
        <v>29</v>
      </c>
      <c r="P38">
        <f>L38+N38</f>
        <v>92</v>
      </c>
    </row>
    <row r="39" spans="1:16">
      <c r="A39">
        <v>2100.8900000000003</v>
      </c>
      <c r="B39">
        <v>42</v>
      </c>
      <c r="C39">
        <v>19</v>
      </c>
      <c r="D39">
        <v>0</v>
      </c>
      <c r="E39">
        <v>14</v>
      </c>
      <c r="G39">
        <v>29</v>
      </c>
      <c r="H39">
        <v>3</v>
      </c>
      <c r="I39">
        <v>0</v>
      </c>
      <c r="J39">
        <v>5</v>
      </c>
      <c r="L39">
        <v>56</v>
      </c>
      <c r="N39">
        <v>34</v>
      </c>
      <c r="P39">
        <f>L39+N39</f>
        <v>90</v>
      </c>
    </row>
    <row r="40" spans="1:16">
      <c r="A40">
        <v>2160.94</v>
      </c>
      <c r="B40">
        <v>35</v>
      </c>
      <c r="C40">
        <v>19</v>
      </c>
      <c r="D40">
        <v>0</v>
      </c>
      <c r="E40">
        <v>9</v>
      </c>
      <c r="G40">
        <v>33</v>
      </c>
      <c r="H40">
        <v>1</v>
      </c>
      <c r="I40">
        <v>0</v>
      </c>
      <c r="J40">
        <v>3</v>
      </c>
      <c r="L40">
        <v>44</v>
      </c>
      <c r="N40">
        <v>36</v>
      </c>
      <c r="P40">
        <f>L40+N40</f>
        <v>80</v>
      </c>
    </row>
    <row r="41" spans="1:16">
      <c r="A41">
        <v>2220.98</v>
      </c>
      <c r="B41">
        <v>38</v>
      </c>
      <c r="C41">
        <v>20</v>
      </c>
      <c r="D41">
        <v>0</v>
      </c>
      <c r="E41">
        <v>18</v>
      </c>
      <c r="G41">
        <v>23</v>
      </c>
      <c r="H41">
        <v>1</v>
      </c>
      <c r="I41">
        <v>1</v>
      </c>
      <c r="J41">
        <v>6</v>
      </c>
      <c r="L41">
        <v>56</v>
      </c>
      <c r="N41">
        <v>30</v>
      </c>
      <c r="P41">
        <f>L41+N41</f>
        <v>86</v>
      </c>
    </row>
    <row r="42" spans="1:16">
      <c r="A42">
        <v>2281.02</v>
      </c>
      <c r="B42">
        <v>45</v>
      </c>
      <c r="C42">
        <v>14</v>
      </c>
      <c r="D42">
        <v>1</v>
      </c>
      <c r="E42">
        <v>12</v>
      </c>
      <c r="G42">
        <v>22</v>
      </c>
      <c r="H42">
        <v>1</v>
      </c>
      <c r="I42">
        <v>0</v>
      </c>
      <c r="J42">
        <v>4</v>
      </c>
      <c r="L42">
        <v>58</v>
      </c>
      <c r="N42">
        <v>26</v>
      </c>
      <c r="P42">
        <f>L42+N42</f>
        <v>84</v>
      </c>
    </row>
    <row r="43" spans="1:16">
      <c r="A43">
        <v>2341.06</v>
      </c>
      <c r="B43">
        <v>52</v>
      </c>
      <c r="C43">
        <v>20</v>
      </c>
      <c r="D43">
        <v>0</v>
      </c>
      <c r="E43">
        <v>11</v>
      </c>
      <c r="G43">
        <v>16</v>
      </c>
      <c r="H43">
        <v>5</v>
      </c>
      <c r="I43">
        <v>1</v>
      </c>
      <c r="J43">
        <v>5</v>
      </c>
      <c r="L43">
        <v>63</v>
      </c>
      <c r="N43">
        <v>22</v>
      </c>
      <c r="P43">
        <f>L43+N43</f>
        <v>85</v>
      </c>
    </row>
    <row r="44" spans="1:16">
      <c r="A44">
        <v>2401.1</v>
      </c>
      <c r="B44">
        <v>49</v>
      </c>
      <c r="C44">
        <v>11</v>
      </c>
      <c r="D44">
        <v>1</v>
      </c>
      <c r="E44">
        <v>12</v>
      </c>
      <c r="G44">
        <v>19</v>
      </c>
      <c r="H44">
        <v>2</v>
      </c>
      <c r="I44">
        <v>1</v>
      </c>
      <c r="J44">
        <v>3</v>
      </c>
      <c r="L44">
        <v>62</v>
      </c>
      <c r="N44">
        <v>23</v>
      </c>
      <c r="P44">
        <f>L44+N44</f>
        <v>85</v>
      </c>
    </row>
    <row r="45" spans="1:16">
      <c r="A45">
        <v>2461.1400000000003</v>
      </c>
      <c r="B45">
        <v>39</v>
      </c>
      <c r="C45">
        <v>22</v>
      </c>
      <c r="D45">
        <v>0</v>
      </c>
      <c r="E45">
        <v>9</v>
      </c>
      <c r="G45">
        <v>27</v>
      </c>
      <c r="H45">
        <v>3</v>
      </c>
      <c r="I45">
        <v>0</v>
      </c>
      <c r="J45">
        <v>1</v>
      </c>
      <c r="L45">
        <v>48</v>
      </c>
      <c r="N45">
        <v>28</v>
      </c>
      <c r="P45">
        <f>L45+N45</f>
        <v>76</v>
      </c>
    </row>
    <row r="46" spans="1:16">
      <c r="A46">
        <v>2521.1800000000003</v>
      </c>
      <c r="B46">
        <v>43</v>
      </c>
      <c r="C46">
        <v>11</v>
      </c>
      <c r="D46">
        <v>0</v>
      </c>
      <c r="E46">
        <v>15</v>
      </c>
      <c r="G46">
        <v>20</v>
      </c>
      <c r="H46">
        <v>1</v>
      </c>
      <c r="I46">
        <v>1</v>
      </c>
      <c r="J46">
        <v>4</v>
      </c>
      <c r="L46">
        <v>58</v>
      </c>
      <c r="N46">
        <v>25</v>
      </c>
      <c r="P46">
        <f>L46+N46</f>
        <v>83</v>
      </c>
    </row>
    <row r="47" spans="1:16">
      <c r="A47">
        <v>2581.2200000000003</v>
      </c>
      <c r="B47">
        <v>49</v>
      </c>
      <c r="C47">
        <v>11</v>
      </c>
      <c r="D47">
        <v>0</v>
      </c>
      <c r="E47">
        <v>6</v>
      </c>
      <c r="G47">
        <v>22</v>
      </c>
      <c r="H47">
        <v>0</v>
      </c>
      <c r="I47">
        <v>1</v>
      </c>
      <c r="J47">
        <v>12</v>
      </c>
      <c r="L47">
        <v>55</v>
      </c>
      <c r="N47">
        <v>35</v>
      </c>
      <c r="P47">
        <f>L47+N47</f>
        <v>90</v>
      </c>
    </row>
    <row r="48" spans="1:16">
      <c r="A48">
        <v>2641.26</v>
      </c>
      <c r="B48">
        <v>51</v>
      </c>
      <c r="C48">
        <v>10</v>
      </c>
      <c r="D48">
        <v>0</v>
      </c>
      <c r="E48">
        <v>13</v>
      </c>
      <c r="G48">
        <v>24</v>
      </c>
      <c r="H48">
        <v>1</v>
      </c>
      <c r="I48">
        <v>2</v>
      </c>
      <c r="J48">
        <v>4</v>
      </c>
      <c r="L48">
        <v>64</v>
      </c>
      <c r="N48">
        <v>30</v>
      </c>
      <c r="P48">
        <f>L48+N48</f>
        <v>94</v>
      </c>
    </row>
    <row r="49" spans="1:16">
      <c r="A49">
        <v>2701.05</v>
      </c>
      <c r="B49">
        <v>39</v>
      </c>
      <c r="C49">
        <v>22</v>
      </c>
      <c r="D49">
        <v>0</v>
      </c>
      <c r="E49">
        <v>12</v>
      </c>
      <c r="G49">
        <v>22</v>
      </c>
      <c r="H49">
        <v>-1</v>
      </c>
      <c r="I49">
        <v>0</v>
      </c>
      <c r="J49">
        <v>8</v>
      </c>
      <c r="L49">
        <v>51</v>
      </c>
      <c r="N49">
        <v>30</v>
      </c>
      <c r="P49">
        <f>L49+N49</f>
        <v>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7"/>
  <sheetViews>
    <sheetView topLeftCell="Q1" workbookViewId="0">
      <selection activeCell="AJ2" sqref="AJ2"/>
    </sheetView>
  </sheetViews>
  <sheetFormatPr defaultRowHeight="16.149999999999999"/>
  <sheetData>
    <row r="1" spans="1:44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</row>
    <row r="2" spans="1:44">
      <c r="A2" s="1">
        <v>46109.831944444442</v>
      </c>
      <c r="B2">
        <v>60.04</v>
      </c>
      <c r="C2">
        <v>51</v>
      </c>
      <c r="D2">
        <v>16</v>
      </c>
      <c r="E2">
        <v>0</v>
      </c>
      <c r="F2">
        <v>11</v>
      </c>
      <c r="G2">
        <v>21</v>
      </c>
      <c r="H2">
        <v>1</v>
      </c>
      <c r="I2">
        <v>2</v>
      </c>
      <c r="J2">
        <v>4</v>
      </c>
      <c r="K2">
        <v>7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2</v>
      </c>
      <c r="T2">
        <v>1</v>
      </c>
      <c r="U2">
        <v>0</v>
      </c>
      <c r="V2">
        <v>0</v>
      </c>
      <c r="W2">
        <v>4</v>
      </c>
      <c r="X2">
        <v>0</v>
      </c>
      <c r="Y2">
        <v>0</v>
      </c>
      <c r="Z2">
        <v>1</v>
      </c>
      <c r="AA2">
        <v>2</v>
      </c>
      <c r="AB2">
        <v>0</v>
      </c>
      <c r="AC2">
        <v>0</v>
      </c>
      <c r="AD2">
        <v>0</v>
      </c>
      <c r="AE2">
        <v>4</v>
      </c>
      <c r="AF2">
        <v>0</v>
      </c>
      <c r="AG2">
        <v>0</v>
      </c>
      <c r="AH2">
        <v>0</v>
      </c>
      <c r="AJ2">
        <f>K2+O2+S2</f>
        <v>11</v>
      </c>
      <c r="AK2">
        <f t="shared" ref="AK2:AM2" si="0">L2+P2+T2</f>
        <v>1</v>
      </c>
      <c r="AL2">
        <f t="shared" si="0"/>
        <v>0</v>
      </c>
      <c r="AM2">
        <f t="shared" si="0"/>
        <v>0</v>
      </c>
      <c r="AO2">
        <f>W2+AA2+AE2</f>
        <v>10</v>
      </c>
      <c r="AP2">
        <f t="shared" ref="AP2:AR2" si="1">X2+AB2+AF2</f>
        <v>0</v>
      </c>
      <c r="AQ2">
        <f t="shared" si="1"/>
        <v>0</v>
      </c>
      <c r="AR2">
        <f t="shared" si="1"/>
        <v>1</v>
      </c>
    </row>
    <row r="3" spans="1:44">
      <c r="A3" s="1">
        <v>46109.835416666669</v>
      </c>
      <c r="B3">
        <v>120.08</v>
      </c>
      <c r="C3">
        <v>100</v>
      </c>
      <c r="D3">
        <v>38</v>
      </c>
      <c r="E3">
        <v>3</v>
      </c>
      <c r="F3">
        <v>20</v>
      </c>
      <c r="G3">
        <v>46</v>
      </c>
      <c r="H3">
        <v>3</v>
      </c>
      <c r="I3">
        <v>3</v>
      </c>
      <c r="J3">
        <v>11</v>
      </c>
      <c r="K3">
        <v>10</v>
      </c>
      <c r="L3">
        <v>0</v>
      </c>
      <c r="M3">
        <v>0</v>
      </c>
      <c r="N3">
        <v>0</v>
      </c>
      <c r="O3">
        <v>2</v>
      </c>
      <c r="P3">
        <v>1</v>
      </c>
      <c r="Q3">
        <v>1</v>
      </c>
      <c r="R3">
        <v>0</v>
      </c>
      <c r="S3">
        <v>3</v>
      </c>
      <c r="T3">
        <v>1</v>
      </c>
      <c r="U3">
        <v>0</v>
      </c>
      <c r="V3">
        <v>0</v>
      </c>
      <c r="W3">
        <v>7</v>
      </c>
      <c r="X3">
        <v>0</v>
      </c>
      <c r="Y3">
        <v>0</v>
      </c>
      <c r="Z3">
        <v>8</v>
      </c>
      <c r="AA3">
        <v>5</v>
      </c>
      <c r="AB3">
        <v>0</v>
      </c>
      <c r="AC3">
        <v>0</v>
      </c>
      <c r="AD3">
        <v>0</v>
      </c>
      <c r="AE3">
        <v>7</v>
      </c>
      <c r="AF3">
        <v>1</v>
      </c>
      <c r="AG3">
        <v>0</v>
      </c>
      <c r="AH3">
        <v>0</v>
      </c>
      <c r="AJ3">
        <f t="shared" ref="AJ3:AJ47" si="2">K3+O3+S3</f>
        <v>15</v>
      </c>
      <c r="AK3">
        <f t="shared" ref="AK3:AK47" si="3">L3+P3+T3</f>
        <v>2</v>
      </c>
      <c r="AL3">
        <f t="shared" ref="AL3:AL47" si="4">M3+Q3+U3</f>
        <v>1</v>
      </c>
      <c r="AM3">
        <f t="shared" ref="AM3:AM47" si="5">N3+R3+V3</f>
        <v>0</v>
      </c>
      <c r="AO3">
        <f t="shared" ref="AO3:AO47" si="6">W3+AA3+AE3</f>
        <v>19</v>
      </c>
      <c r="AP3">
        <f t="shared" ref="AP3:AP47" si="7">X3+AB3+AF3</f>
        <v>1</v>
      </c>
      <c r="AQ3">
        <f t="shared" ref="AQ3:AQ47" si="8">Y3+AC3+AG3</f>
        <v>0</v>
      </c>
      <c r="AR3">
        <f t="shared" ref="AR3:AR47" si="9">Z3+AD3+AH3</f>
        <v>8</v>
      </c>
    </row>
    <row r="4" spans="1:44">
      <c r="A4" s="1">
        <v>46109.838194444441</v>
      </c>
      <c r="B4">
        <v>180.12</v>
      </c>
      <c r="C4">
        <v>151</v>
      </c>
      <c r="D4">
        <v>61</v>
      </c>
      <c r="E4">
        <v>4</v>
      </c>
      <c r="F4">
        <v>25</v>
      </c>
      <c r="G4">
        <v>70</v>
      </c>
      <c r="H4">
        <v>5</v>
      </c>
      <c r="I4">
        <v>4</v>
      </c>
      <c r="J4">
        <v>11</v>
      </c>
      <c r="K4">
        <v>14</v>
      </c>
      <c r="L4">
        <v>1</v>
      </c>
      <c r="M4">
        <v>0</v>
      </c>
      <c r="N4">
        <v>0</v>
      </c>
      <c r="O4">
        <v>3</v>
      </c>
      <c r="P4">
        <v>2</v>
      </c>
      <c r="Q4">
        <v>1</v>
      </c>
      <c r="R4">
        <v>0</v>
      </c>
      <c r="S4">
        <v>3</v>
      </c>
      <c r="T4">
        <v>1</v>
      </c>
      <c r="U4">
        <v>0</v>
      </c>
      <c r="V4">
        <v>0</v>
      </c>
      <c r="W4">
        <v>15</v>
      </c>
      <c r="X4">
        <v>1</v>
      </c>
      <c r="Y4">
        <v>0</v>
      </c>
      <c r="Z4">
        <v>8</v>
      </c>
      <c r="AA4">
        <v>11</v>
      </c>
      <c r="AB4">
        <v>0</v>
      </c>
      <c r="AC4">
        <v>0</v>
      </c>
      <c r="AD4">
        <v>0</v>
      </c>
      <c r="AE4">
        <v>7</v>
      </c>
      <c r="AF4">
        <v>3</v>
      </c>
      <c r="AG4">
        <v>0</v>
      </c>
      <c r="AH4">
        <v>0</v>
      </c>
      <c r="AJ4">
        <f t="shared" si="2"/>
        <v>20</v>
      </c>
      <c r="AK4">
        <f t="shared" si="3"/>
        <v>4</v>
      </c>
      <c r="AL4">
        <f t="shared" si="4"/>
        <v>1</v>
      </c>
      <c r="AM4">
        <f t="shared" si="5"/>
        <v>0</v>
      </c>
      <c r="AO4">
        <f t="shared" si="6"/>
        <v>33</v>
      </c>
      <c r="AP4">
        <f t="shared" si="7"/>
        <v>4</v>
      </c>
      <c r="AQ4">
        <f t="shared" si="8"/>
        <v>0</v>
      </c>
      <c r="AR4">
        <f t="shared" si="9"/>
        <v>8</v>
      </c>
    </row>
    <row r="5" spans="1:44">
      <c r="A5" s="1">
        <v>46109.84097222222</v>
      </c>
      <c r="B5">
        <v>240.16</v>
      </c>
      <c r="C5">
        <v>207</v>
      </c>
      <c r="D5">
        <v>94</v>
      </c>
      <c r="E5">
        <v>5</v>
      </c>
      <c r="F5">
        <v>32</v>
      </c>
      <c r="G5">
        <v>96</v>
      </c>
      <c r="H5">
        <v>9</v>
      </c>
      <c r="I5">
        <v>4</v>
      </c>
      <c r="J5">
        <v>11</v>
      </c>
      <c r="K5">
        <v>20</v>
      </c>
      <c r="L5">
        <v>1</v>
      </c>
      <c r="M5">
        <v>1</v>
      </c>
      <c r="N5">
        <v>1</v>
      </c>
      <c r="O5">
        <v>3</v>
      </c>
      <c r="P5">
        <v>2</v>
      </c>
      <c r="Q5">
        <v>1</v>
      </c>
      <c r="R5">
        <v>0</v>
      </c>
      <c r="S5">
        <v>4</v>
      </c>
      <c r="T5">
        <v>1</v>
      </c>
      <c r="U5">
        <v>0</v>
      </c>
      <c r="V5">
        <v>0</v>
      </c>
      <c r="W5">
        <v>20</v>
      </c>
      <c r="X5">
        <v>1</v>
      </c>
      <c r="Y5">
        <v>0</v>
      </c>
      <c r="Z5">
        <v>8</v>
      </c>
      <c r="AA5">
        <v>15</v>
      </c>
      <c r="AB5">
        <v>0</v>
      </c>
      <c r="AC5">
        <v>0</v>
      </c>
      <c r="AD5">
        <v>0</v>
      </c>
      <c r="AE5">
        <v>9</v>
      </c>
      <c r="AF5">
        <v>3</v>
      </c>
      <c r="AG5">
        <v>0</v>
      </c>
      <c r="AH5">
        <v>0</v>
      </c>
      <c r="AJ5">
        <f t="shared" si="2"/>
        <v>27</v>
      </c>
      <c r="AK5">
        <f t="shared" si="3"/>
        <v>4</v>
      </c>
      <c r="AL5">
        <f t="shared" si="4"/>
        <v>2</v>
      </c>
      <c r="AM5">
        <f t="shared" si="5"/>
        <v>1</v>
      </c>
      <c r="AO5">
        <f t="shared" si="6"/>
        <v>44</v>
      </c>
      <c r="AP5">
        <f t="shared" si="7"/>
        <v>4</v>
      </c>
      <c r="AQ5">
        <f t="shared" si="8"/>
        <v>0</v>
      </c>
      <c r="AR5">
        <f t="shared" si="9"/>
        <v>8</v>
      </c>
    </row>
    <row r="6" spans="1:44">
      <c r="A6" s="1">
        <v>46109.845138888886</v>
      </c>
      <c r="B6">
        <v>300.2</v>
      </c>
      <c r="C6">
        <v>248</v>
      </c>
      <c r="D6">
        <v>114</v>
      </c>
      <c r="E6">
        <v>5</v>
      </c>
      <c r="F6">
        <v>40</v>
      </c>
      <c r="G6">
        <v>113</v>
      </c>
      <c r="H6">
        <v>9</v>
      </c>
      <c r="I6">
        <v>4</v>
      </c>
      <c r="J6">
        <v>15</v>
      </c>
      <c r="K6">
        <v>22</v>
      </c>
      <c r="L6">
        <v>1</v>
      </c>
      <c r="M6">
        <v>1</v>
      </c>
      <c r="N6">
        <v>5</v>
      </c>
      <c r="O6">
        <v>4</v>
      </c>
      <c r="P6">
        <v>2</v>
      </c>
      <c r="Q6">
        <v>1</v>
      </c>
      <c r="R6">
        <v>0</v>
      </c>
      <c r="S6">
        <v>5</v>
      </c>
      <c r="T6">
        <v>1</v>
      </c>
      <c r="U6">
        <v>0</v>
      </c>
      <c r="V6">
        <v>0</v>
      </c>
      <c r="W6">
        <v>27</v>
      </c>
      <c r="X6">
        <v>1</v>
      </c>
      <c r="Y6">
        <v>1</v>
      </c>
      <c r="Z6">
        <v>11</v>
      </c>
      <c r="AA6">
        <v>15</v>
      </c>
      <c r="AB6">
        <v>0</v>
      </c>
      <c r="AC6">
        <v>0</v>
      </c>
      <c r="AD6">
        <v>0</v>
      </c>
      <c r="AE6">
        <v>12</v>
      </c>
      <c r="AF6">
        <v>3</v>
      </c>
      <c r="AG6">
        <v>0</v>
      </c>
      <c r="AH6">
        <v>0</v>
      </c>
      <c r="AJ6">
        <f t="shared" si="2"/>
        <v>31</v>
      </c>
      <c r="AK6">
        <f t="shared" si="3"/>
        <v>4</v>
      </c>
      <c r="AL6">
        <f t="shared" si="4"/>
        <v>2</v>
      </c>
      <c r="AM6">
        <f t="shared" si="5"/>
        <v>5</v>
      </c>
      <c r="AO6">
        <f t="shared" si="6"/>
        <v>54</v>
      </c>
      <c r="AP6">
        <f t="shared" si="7"/>
        <v>4</v>
      </c>
      <c r="AQ6">
        <f t="shared" si="8"/>
        <v>1</v>
      </c>
      <c r="AR6">
        <f t="shared" si="9"/>
        <v>11</v>
      </c>
    </row>
    <row r="7" spans="1:44">
      <c r="A7" s="1">
        <v>46109.849305555559</v>
      </c>
      <c r="B7">
        <v>360.24</v>
      </c>
      <c r="C7">
        <v>304</v>
      </c>
      <c r="D7">
        <v>134</v>
      </c>
      <c r="E7">
        <v>6</v>
      </c>
      <c r="F7">
        <v>48</v>
      </c>
      <c r="G7">
        <v>140</v>
      </c>
      <c r="H7">
        <v>9</v>
      </c>
      <c r="I7">
        <v>5</v>
      </c>
      <c r="J7">
        <v>17</v>
      </c>
      <c r="K7">
        <v>29</v>
      </c>
      <c r="L7">
        <v>1</v>
      </c>
      <c r="M7">
        <v>1</v>
      </c>
      <c r="N7">
        <v>5</v>
      </c>
      <c r="O7">
        <v>5</v>
      </c>
      <c r="P7">
        <v>3</v>
      </c>
      <c r="Q7">
        <v>1</v>
      </c>
      <c r="R7">
        <v>0</v>
      </c>
      <c r="S7">
        <v>5</v>
      </c>
      <c r="T7">
        <v>1</v>
      </c>
      <c r="U7">
        <v>0</v>
      </c>
      <c r="V7">
        <v>0</v>
      </c>
      <c r="W7">
        <v>34</v>
      </c>
      <c r="X7">
        <v>1</v>
      </c>
      <c r="Y7">
        <v>2</v>
      </c>
      <c r="Z7">
        <v>12</v>
      </c>
      <c r="AA7">
        <v>17</v>
      </c>
      <c r="AB7">
        <v>0</v>
      </c>
      <c r="AC7">
        <v>0</v>
      </c>
      <c r="AD7">
        <v>0</v>
      </c>
      <c r="AE7">
        <v>15</v>
      </c>
      <c r="AF7">
        <v>3</v>
      </c>
      <c r="AG7">
        <v>0</v>
      </c>
      <c r="AH7">
        <v>0</v>
      </c>
      <c r="AJ7">
        <f t="shared" si="2"/>
        <v>39</v>
      </c>
      <c r="AK7">
        <f t="shared" si="3"/>
        <v>5</v>
      </c>
      <c r="AL7">
        <f t="shared" si="4"/>
        <v>2</v>
      </c>
      <c r="AM7">
        <f t="shared" si="5"/>
        <v>5</v>
      </c>
      <c r="AO7">
        <f t="shared" si="6"/>
        <v>66</v>
      </c>
      <c r="AP7">
        <f t="shared" si="7"/>
        <v>4</v>
      </c>
      <c r="AQ7">
        <f t="shared" si="8"/>
        <v>2</v>
      </c>
      <c r="AR7">
        <f t="shared" si="9"/>
        <v>12</v>
      </c>
    </row>
    <row r="8" spans="1:44">
      <c r="A8" s="1">
        <v>46109.852777777778</v>
      </c>
      <c r="B8">
        <v>420.28</v>
      </c>
      <c r="C8">
        <v>363</v>
      </c>
      <c r="D8">
        <v>164</v>
      </c>
      <c r="E8">
        <v>7</v>
      </c>
      <c r="F8">
        <v>58</v>
      </c>
      <c r="G8">
        <v>162</v>
      </c>
      <c r="H8">
        <v>12</v>
      </c>
      <c r="I8">
        <v>6</v>
      </c>
      <c r="J8">
        <v>22</v>
      </c>
      <c r="K8">
        <v>37</v>
      </c>
      <c r="L8">
        <v>1</v>
      </c>
      <c r="M8">
        <v>1</v>
      </c>
      <c r="N8">
        <v>8</v>
      </c>
      <c r="O8">
        <v>6</v>
      </c>
      <c r="P8">
        <v>6</v>
      </c>
      <c r="Q8">
        <v>1</v>
      </c>
      <c r="R8">
        <v>1</v>
      </c>
      <c r="S8">
        <v>5</v>
      </c>
      <c r="T8">
        <v>2</v>
      </c>
      <c r="U8">
        <v>0</v>
      </c>
      <c r="V8">
        <v>0</v>
      </c>
      <c r="W8">
        <v>38</v>
      </c>
      <c r="X8">
        <v>1</v>
      </c>
      <c r="Y8">
        <v>2</v>
      </c>
      <c r="Z8">
        <v>14</v>
      </c>
      <c r="AA8">
        <v>20</v>
      </c>
      <c r="AB8">
        <v>0</v>
      </c>
      <c r="AC8">
        <v>0</v>
      </c>
      <c r="AD8">
        <v>0</v>
      </c>
      <c r="AE8">
        <v>16</v>
      </c>
      <c r="AF8">
        <v>3</v>
      </c>
      <c r="AG8">
        <v>0</v>
      </c>
      <c r="AH8">
        <v>0</v>
      </c>
      <c r="AJ8">
        <f t="shared" si="2"/>
        <v>48</v>
      </c>
      <c r="AK8">
        <f t="shared" si="3"/>
        <v>9</v>
      </c>
      <c r="AL8">
        <f t="shared" si="4"/>
        <v>2</v>
      </c>
      <c r="AM8">
        <f t="shared" si="5"/>
        <v>9</v>
      </c>
      <c r="AO8">
        <f t="shared" si="6"/>
        <v>74</v>
      </c>
      <c r="AP8">
        <f t="shared" si="7"/>
        <v>4</v>
      </c>
      <c r="AQ8">
        <f t="shared" si="8"/>
        <v>2</v>
      </c>
      <c r="AR8">
        <f t="shared" si="9"/>
        <v>14</v>
      </c>
    </row>
    <row r="9" spans="1:44">
      <c r="A9" s="1">
        <v>46109.856249999997</v>
      </c>
      <c r="B9">
        <v>480.33</v>
      </c>
      <c r="C9">
        <v>410</v>
      </c>
      <c r="D9">
        <v>184</v>
      </c>
      <c r="E9">
        <v>7</v>
      </c>
      <c r="F9">
        <v>65</v>
      </c>
      <c r="G9">
        <v>183</v>
      </c>
      <c r="H9">
        <v>16</v>
      </c>
      <c r="I9">
        <v>6</v>
      </c>
      <c r="J9">
        <v>25</v>
      </c>
      <c r="K9">
        <v>40</v>
      </c>
      <c r="L9">
        <v>1</v>
      </c>
      <c r="M9">
        <v>1</v>
      </c>
      <c r="N9">
        <v>9</v>
      </c>
      <c r="O9">
        <v>6</v>
      </c>
      <c r="P9">
        <v>6</v>
      </c>
      <c r="Q9">
        <v>1</v>
      </c>
      <c r="R9">
        <v>1</v>
      </c>
      <c r="S9">
        <v>5</v>
      </c>
      <c r="T9">
        <v>2</v>
      </c>
      <c r="U9">
        <v>0</v>
      </c>
      <c r="V9">
        <v>0</v>
      </c>
      <c r="W9">
        <v>43</v>
      </c>
      <c r="X9">
        <v>1</v>
      </c>
      <c r="Y9">
        <v>2</v>
      </c>
      <c r="Z9">
        <v>14</v>
      </c>
      <c r="AA9">
        <v>23</v>
      </c>
      <c r="AB9">
        <v>0</v>
      </c>
      <c r="AC9">
        <v>0</v>
      </c>
      <c r="AD9">
        <v>1</v>
      </c>
      <c r="AE9">
        <v>17</v>
      </c>
      <c r="AF9">
        <v>5</v>
      </c>
      <c r="AG9">
        <v>0</v>
      </c>
      <c r="AH9">
        <v>0</v>
      </c>
      <c r="AJ9">
        <f t="shared" si="2"/>
        <v>51</v>
      </c>
      <c r="AK9">
        <f t="shared" si="3"/>
        <v>9</v>
      </c>
      <c r="AL9">
        <f t="shared" si="4"/>
        <v>2</v>
      </c>
      <c r="AM9">
        <f t="shared" si="5"/>
        <v>10</v>
      </c>
      <c r="AO9">
        <f t="shared" si="6"/>
        <v>83</v>
      </c>
      <c r="AP9">
        <f t="shared" si="7"/>
        <v>6</v>
      </c>
      <c r="AQ9">
        <f t="shared" si="8"/>
        <v>2</v>
      </c>
      <c r="AR9">
        <f t="shared" si="9"/>
        <v>15</v>
      </c>
    </row>
    <row r="10" spans="1:44">
      <c r="A10" s="1">
        <v>46109.859027777777</v>
      </c>
      <c r="B10">
        <v>540.37</v>
      </c>
      <c r="C10">
        <v>460</v>
      </c>
      <c r="D10">
        <v>212</v>
      </c>
      <c r="E10">
        <v>7</v>
      </c>
      <c r="F10">
        <v>75</v>
      </c>
      <c r="G10">
        <v>204</v>
      </c>
      <c r="H10">
        <v>16</v>
      </c>
      <c r="I10">
        <v>6</v>
      </c>
      <c r="J10">
        <v>28</v>
      </c>
      <c r="K10">
        <v>46</v>
      </c>
      <c r="L10">
        <v>1</v>
      </c>
      <c r="M10">
        <v>1</v>
      </c>
      <c r="N10">
        <v>9</v>
      </c>
      <c r="O10">
        <v>6</v>
      </c>
      <c r="P10">
        <v>6</v>
      </c>
      <c r="Q10">
        <v>1</v>
      </c>
      <c r="R10">
        <v>1</v>
      </c>
      <c r="S10">
        <v>5</v>
      </c>
      <c r="T10">
        <v>2</v>
      </c>
      <c r="U10">
        <v>0</v>
      </c>
      <c r="V10">
        <v>0</v>
      </c>
      <c r="W10">
        <v>51</v>
      </c>
      <c r="X10">
        <v>1</v>
      </c>
      <c r="Y10">
        <v>2</v>
      </c>
      <c r="Z10">
        <v>14</v>
      </c>
      <c r="AA10">
        <v>27</v>
      </c>
      <c r="AB10">
        <v>0</v>
      </c>
      <c r="AC10">
        <v>0</v>
      </c>
      <c r="AD10">
        <v>1</v>
      </c>
      <c r="AE10">
        <v>21</v>
      </c>
      <c r="AF10">
        <v>5</v>
      </c>
      <c r="AG10">
        <v>0</v>
      </c>
      <c r="AH10">
        <v>0</v>
      </c>
      <c r="AJ10">
        <f t="shared" si="2"/>
        <v>57</v>
      </c>
      <c r="AK10">
        <f t="shared" si="3"/>
        <v>9</v>
      </c>
      <c r="AL10">
        <f t="shared" si="4"/>
        <v>2</v>
      </c>
      <c r="AM10">
        <f t="shared" si="5"/>
        <v>10</v>
      </c>
      <c r="AO10">
        <f t="shared" si="6"/>
        <v>99</v>
      </c>
      <c r="AP10">
        <f t="shared" si="7"/>
        <v>6</v>
      </c>
      <c r="AQ10">
        <f t="shared" si="8"/>
        <v>2</v>
      </c>
      <c r="AR10">
        <f t="shared" si="9"/>
        <v>15</v>
      </c>
    </row>
    <row r="11" spans="1:44">
      <c r="A11" s="1">
        <v>46109.861805555556</v>
      </c>
      <c r="B11">
        <v>600.41</v>
      </c>
      <c r="C11">
        <v>510</v>
      </c>
      <c r="D11">
        <v>228</v>
      </c>
      <c r="E11">
        <v>7</v>
      </c>
      <c r="F11">
        <v>85</v>
      </c>
      <c r="G11">
        <v>227</v>
      </c>
      <c r="H11">
        <v>18</v>
      </c>
      <c r="I11">
        <v>7</v>
      </c>
      <c r="J11">
        <v>30</v>
      </c>
      <c r="K11">
        <v>48</v>
      </c>
      <c r="L11">
        <v>2</v>
      </c>
      <c r="M11">
        <v>1</v>
      </c>
      <c r="N11">
        <v>9</v>
      </c>
      <c r="O11">
        <v>6</v>
      </c>
      <c r="P11">
        <v>6</v>
      </c>
      <c r="Q11">
        <v>1</v>
      </c>
      <c r="R11">
        <v>1</v>
      </c>
      <c r="S11">
        <v>6</v>
      </c>
      <c r="T11">
        <v>2</v>
      </c>
      <c r="U11">
        <v>0</v>
      </c>
      <c r="V11">
        <v>0</v>
      </c>
      <c r="W11">
        <v>53</v>
      </c>
      <c r="X11">
        <v>1</v>
      </c>
      <c r="Y11">
        <v>2</v>
      </c>
      <c r="Z11">
        <v>14</v>
      </c>
      <c r="AA11">
        <v>32</v>
      </c>
      <c r="AB11">
        <v>0</v>
      </c>
      <c r="AC11">
        <v>0</v>
      </c>
      <c r="AD11">
        <v>1</v>
      </c>
      <c r="AE11">
        <v>25</v>
      </c>
      <c r="AF11">
        <v>5</v>
      </c>
      <c r="AG11">
        <v>0</v>
      </c>
      <c r="AH11">
        <v>0</v>
      </c>
      <c r="AJ11">
        <f t="shared" si="2"/>
        <v>60</v>
      </c>
      <c r="AK11">
        <f t="shared" si="3"/>
        <v>10</v>
      </c>
      <c r="AL11">
        <f t="shared" si="4"/>
        <v>2</v>
      </c>
      <c r="AM11">
        <f t="shared" si="5"/>
        <v>10</v>
      </c>
      <c r="AO11">
        <f t="shared" si="6"/>
        <v>110</v>
      </c>
      <c r="AP11">
        <f t="shared" si="7"/>
        <v>6</v>
      </c>
      <c r="AQ11">
        <f t="shared" si="8"/>
        <v>2</v>
      </c>
      <c r="AR11">
        <f t="shared" si="9"/>
        <v>15</v>
      </c>
    </row>
    <row r="12" spans="1:44">
      <c r="A12" s="1">
        <v>46109.865277777775</v>
      </c>
      <c r="B12">
        <v>660.45</v>
      </c>
      <c r="C12">
        <v>556</v>
      </c>
      <c r="D12">
        <v>241</v>
      </c>
      <c r="E12">
        <v>9</v>
      </c>
      <c r="F12">
        <v>95</v>
      </c>
      <c r="G12">
        <v>247</v>
      </c>
      <c r="H12">
        <v>20</v>
      </c>
      <c r="I12">
        <v>7</v>
      </c>
      <c r="J12">
        <v>31</v>
      </c>
      <c r="K12">
        <v>52</v>
      </c>
      <c r="L12">
        <v>3</v>
      </c>
      <c r="M12">
        <v>1</v>
      </c>
      <c r="N12">
        <v>9</v>
      </c>
      <c r="O12">
        <v>6</v>
      </c>
      <c r="P12">
        <v>6</v>
      </c>
      <c r="Q12">
        <v>1</v>
      </c>
      <c r="R12">
        <v>1</v>
      </c>
      <c r="S12">
        <v>6</v>
      </c>
      <c r="T12">
        <v>3</v>
      </c>
      <c r="U12">
        <v>0</v>
      </c>
      <c r="V12">
        <v>0</v>
      </c>
      <c r="W12">
        <v>54</v>
      </c>
      <c r="X12">
        <v>1</v>
      </c>
      <c r="Y12">
        <v>2</v>
      </c>
      <c r="Z12">
        <v>15</v>
      </c>
      <c r="AA12">
        <v>35</v>
      </c>
      <c r="AB12">
        <v>0</v>
      </c>
      <c r="AC12">
        <v>0</v>
      </c>
      <c r="AD12">
        <v>2</v>
      </c>
      <c r="AE12">
        <v>26</v>
      </c>
      <c r="AF12">
        <v>5</v>
      </c>
      <c r="AG12">
        <v>0</v>
      </c>
      <c r="AH12">
        <v>0</v>
      </c>
      <c r="AJ12">
        <f t="shared" si="2"/>
        <v>64</v>
      </c>
      <c r="AK12">
        <f t="shared" si="3"/>
        <v>12</v>
      </c>
      <c r="AL12">
        <f t="shared" si="4"/>
        <v>2</v>
      </c>
      <c r="AM12">
        <f t="shared" si="5"/>
        <v>10</v>
      </c>
      <c r="AO12">
        <f t="shared" si="6"/>
        <v>115</v>
      </c>
      <c r="AP12">
        <f t="shared" si="7"/>
        <v>6</v>
      </c>
      <c r="AQ12">
        <f t="shared" si="8"/>
        <v>2</v>
      </c>
      <c r="AR12">
        <f t="shared" si="9"/>
        <v>17</v>
      </c>
    </row>
    <row r="13" spans="1:44">
      <c r="AJ13">
        <f t="shared" si="2"/>
        <v>0</v>
      </c>
      <c r="AK13">
        <f t="shared" si="3"/>
        <v>0</v>
      </c>
      <c r="AL13">
        <f t="shared" si="4"/>
        <v>0</v>
      </c>
      <c r="AM13">
        <f t="shared" si="5"/>
        <v>0</v>
      </c>
      <c r="AO13">
        <f t="shared" si="6"/>
        <v>0</v>
      </c>
      <c r="AP13">
        <f t="shared" si="7"/>
        <v>0</v>
      </c>
      <c r="AQ13">
        <f t="shared" si="8"/>
        <v>0</v>
      </c>
      <c r="AR13">
        <f t="shared" si="9"/>
        <v>0</v>
      </c>
    </row>
    <row r="14" spans="1:44">
      <c r="AJ14">
        <f t="shared" si="2"/>
        <v>0</v>
      </c>
      <c r="AK14">
        <f t="shared" si="3"/>
        <v>0</v>
      </c>
      <c r="AL14">
        <f t="shared" si="4"/>
        <v>0</v>
      </c>
      <c r="AM14">
        <f t="shared" si="5"/>
        <v>0</v>
      </c>
      <c r="AO14">
        <f t="shared" si="6"/>
        <v>0</v>
      </c>
      <c r="AP14">
        <f t="shared" si="7"/>
        <v>0</v>
      </c>
      <c r="AQ14">
        <f t="shared" si="8"/>
        <v>0</v>
      </c>
      <c r="AR14">
        <f t="shared" si="9"/>
        <v>0</v>
      </c>
    </row>
    <row r="15" spans="1:44">
      <c r="A15" s="1">
        <v>46110.127222222225</v>
      </c>
      <c r="B15">
        <v>60.04</v>
      </c>
      <c r="C15">
        <v>50</v>
      </c>
      <c r="D15">
        <v>14</v>
      </c>
      <c r="E15">
        <v>3</v>
      </c>
      <c r="F15">
        <v>11</v>
      </c>
      <c r="G15">
        <v>22</v>
      </c>
      <c r="H15">
        <v>0</v>
      </c>
      <c r="I15">
        <v>2</v>
      </c>
      <c r="J15">
        <v>2</v>
      </c>
      <c r="K15">
        <v>3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3</v>
      </c>
      <c r="X15">
        <v>0</v>
      </c>
      <c r="Y15">
        <v>0</v>
      </c>
      <c r="Z15">
        <v>2</v>
      </c>
      <c r="AA15">
        <v>5</v>
      </c>
      <c r="AB15">
        <v>0</v>
      </c>
      <c r="AC15">
        <v>0</v>
      </c>
      <c r="AD15">
        <v>1</v>
      </c>
      <c r="AE15">
        <v>3</v>
      </c>
      <c r="AF15">
        <v>1</v>
      </c>
      <c r="AG15">
        <v>0</v>
      </c>
      <c r="AH15">
        <v>0</v>
      </c>
      <c r="AJ15">
        <f t="shared" si="2"/>
        <v>3</v>
      </c>
      <c r="AK15">
        <f t="shared" si="3"/>
        <v>2</v>
      </c>
      <c r="AL15">
        <f t="shared" si="4"/>
        <v>0</v>
      </c>
      <c r="AM15">
        <f t="shared" si="5"/>
        <v>1</v>
      </c>
      <c r="AO15">
        <f t="shared" si="6"/>
        <v>11</v>
      </c>
      <c r="AP15">
        <f t="shared" si="7"/>
        <v>1</v>
      </c>
      <c r="AQ15">
        <f t="shared" si="8"/>
        <v>0</v>
      </c>
      <c r="AR15">
        <f t="shared" si="9"/>
        <v>3</v>
      </c>
    </row>
    <row r="16" spans="1:44">
      <c r="A16" s="1">
        <v>46110.1328125</v>
      </c>
      <c r="B16">
        <v>60.04</v>
      </c>
      <c r="C16">
        <v>50</v>
      </c>
      <c r="D16">
        <v>14</v>
      </c>
      <c r="E16">
        <v>3</v>
      </c>
      <c r="F16">
        <v>11</v>
      </c>
      <c r="G16">
        <v>22</v>
      </c>
      <c r="H16">
        <v>0</v>
      </c>
      <c r="I16">
        <v>2</v>
      </c>
      <c r="J16">
        <v>2</v>
      </c>
      <c r="K16">
        <v>3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0</v>
      </c>
      <c r="Y16">
        <v>0</v>
      </c>
      <c r="Z16">
        <v>2</v>
      </c>
      <c r="AA16">
        <v>5</v>
      </c>
      <c r="AB16">
        <v>0</v>
      </c>
      <c r="AC16">
        <v>0</v>
      </c>
      <c r="AD16">
        <v>1</v>
      </c>
      <c r="AE16">
        <v>3</v>
      </c>
      <c r="AF16">
        <v>1</v>
      </c>
      <c r="AG16">
        <v>0</v>
      </c>
      <c r="AH16">
        <v>0</v>
      </c>
      <c r="AJ16">
        <f t="shared" si="2"/>
        <v>3</v>
      </c>
      <c r="AK16">
        <f t="shared" si="3"/>
        <v>2</v>
      </c>
      <c r="AL16">
        <f t="shared" si="4"/>
        <v>0</v>
      </c>
      <c r="AM16">
        <f t="shared" si="5"/>
        <v>1</v>
      </c>
      <c r="AO16">
        <f t="shared" si="6"/>
        <v>10</v>
      </c>
      <c r="AP16">
        <f t="shared" si="7"/>
        <v>1</v>
      </c>
      <c r="AQ16">
        <f t="shared" si="8"/>
        <v>0</v>
      </c>
      <c r="AR16">
        <f t="shared" si="9"/>
        <v>3</v>
      </c>
    </row>
    <row r="17" spans="1:44">
      <c r="A17" s="1">
        <v>46110.135555555556</v>
      </c>
      <c r="B17">
        <v>120.08</v>
      </c>
      <c r="C17">
        <v>102</v>
      </c>
      <c r="D17">
        <v>38</v>
      </c>
      <c r="E17">
        <v>3</v>
      </c>
      <c r="F17">
        <v>17</v>
      </c>
      <c r="G17">
        <v>46</v>
      </c>
      <c r="H17">
        <v>0</v>
      </c>
      <c r="I17">
        <v>2</v>
      </c>
      <c r="J17">
        <v>5</v>
      </c>
      <c r="K17">
        <v>6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13</v>
      </c>
      <c r="X17">
        <v>0</v>
      </c>
      <c r="Y17">
        <v>0</v>
      </c>
      <c r="Z17">
        <v>3</v>
      </c>
      <c r="AA17">
        <v>7</v>
      </c>
      <c r="AB17">
        <v>0</v>
      </c>
      <c r="AC17">
        <v>0</v>
      </c>
      <c r="AD17">
        <v>1</v>
      </c>
      <c r="AE17">
        <v>5</v>
      </c>
      <c r="AF17">
        <v>1</v>
      </c>
      <c r="AG17">
        <v>0</v>
      </c>
      <c r="AH17">
        <v>0</v>
      </c>
      <c r="AJ17">
        <f t="shared" si="2"/>
        <v>6</v>
      </c>
      <c r="AK17">
        <f t="shared" si="3"/>
        <v>2</v>
      </c>
      <c r="AL17">
        <f t="shared" si="4"/>
        <v>0</v>
      </c>
      <c r="AM17">
        <f t="shared" si="5"/>
        <v>1</v>
      </c>
      <c r="AO17">
        <f t="shared" si="6"/>
        <v>25</v>
      </c>
      <c r="AP17">
        <f t="shared" si="7"/>
        <v>1</v>
      </c>
      <c r="AQ17">
        <f t="shared" si="8"/>
        <v>0</v>
      </c>
      <c r="AR17">
        <f t="shared" si="9"/>
        <v>4</v>
      </c>
    </row>
    <row r="18" spans="1:44">
      <c r="A18" s="1">
        <v>46110.138321759259</v>
      </c>
      <c r="B18">
        <v>180.12</v>
      </c>
      <c r="C18">
        <v>152</v>
      </c>
      <c r="D18">
        <v>62</v>
      </c>
      <c r="E18">
        <v>3</v>
      </c>
      <c r="F18">
        <v>28</v>
      </c>
      <c r="G18">
        <v>66</v>
      </c>
      <c r="H18">
        <v>0</v>
      </c>
      <c r="I18">
        <v>3</v>
      </c>
      <c r="J18">
        <v>9</v>
      </c>
      <c r="K18">
        <v>8</v>
      </c>
      <c r="L18">
        <v>1</v>
      </c>
      <c r="M18">
        <v>0</v>
      </c>
      <c r="N18">
        <v>10</v>
      </c>
      <c r="O18">
        <v>1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19</v>
      </c>
      <c r="X18">
        <v>0</v>
      </c>
      <c r="Y18">
        <v>0</v>
      </c>
      <c r="Z18">
        <v>4</v>
      </c>
      <c r="AA18">
        <v>9</v>
      </c>
      <c r="AB18">
        <v>0</v>
      </c>
      <c r="AC18">
        <v>0</v>
      </c>
      <c r="AD18">
        <v>1</v>
      </c>
      <c r="AE18">
        <v>6</v>
      </c>
      <c r="AF18">
        <v>1</v>
      </c>
      <c r="AG18">
        <v>0</v>
      </c>
      <c r="AH18">
        <v>0</v>
      </c>
      <c r="AJ18">
        <f t="shared" si="2"/>
        <v>9</v>
      </c>
      <c r="AK18">
        <f t="shared" si="3"/>
        <v>3</v>
      </c>
      <c r="AL18">
        <f t="shared" si="4"/>
        <v>0</v>
      </c>
      <c r="AM18">
        <f t="shared" si="5"/>
        <v>10</v>
      </c>
      <c r="AO18">
        <f t="shared" si="6"/>
        <v>34</v>
      </c>
      <c r="AP18">
        <f t="shared" si="7"/>
        <v>1</v>
      </c>
      <c r="AQ18">
        <f t="shared" si="8"/>
        <v>0</v>
      </c>
      <c r="AR18">
        <f t="shared" si="9"/>
        <v>5</v>
      </c>
    </row>
    <row r="19" spans="1:44">
      <c r="A19" s="1">
        <v>46110.14135416667</v>
      </c>
      <c r="B19">
        <v>240.16</v>
      </c>
      <c r="C19">
        <v>207</v>
      </c>
      <c r="D19">
        <v>79</v>
      </c>
      <c r="E19">
        <v>3</v>
      </c>
      <c r="F19">
        <v>33</v>
      </c>
      <c r="G19">
        <v>88</v>
      </c>
      <c r="H19">
        <v>5</v>
      </c>
      <c r="I19">
        <v>4</v>
      </c>
      <c r="J19">
        <v>16</v>
      </c>
      <c r="K19">
        <v>11</v>
      </c>
      <c r="L19">
        <v>1</v>
      </c>
      <c r="M19">
        <v>1</v>
      </c>
      <c r="N19">
        <v>11</v>
      </c>
      <c r="O19">
        <v>2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25</v>
      </c>
      <c r="X19">
        <v>0</v>
      </c>
      <c r="Y19">
        <v>0</v>
      </c>
      <c r="Z19">
        <v>9</v>
      </c>
      <c r="AA19">
        <v>11</v>
      </c>
      <c r="AB19">
        <v>1</v>
      </c>
      <c r="AC19">
        <v>0</v>
      </c>
      <c r="AD19">
        <v>1</v>
      </c>
      <c r="AE19">
        <v>9</v>
      </c>
      <c r="AF19">
        <v>1</v>
      </c>
      <c r="AG19">
        <v>0</v>
      </c>
      <c r="AH19">
        <v>0</v>
      </c>
      <c r="AJ19">
        <f t="shared" si="2"/>
        <v>13</v>
      </c>
      <c r="AK19">
        <f t="shared" si="3"/>
        <v>3</v>
      </c>
      <c r="AL19">
        <f t="shared" si="4"/>
        <v>1</v>
      </c>
      <c r="AM19">
        <f t="shared" si="5"/>
        <v>11</v>
      </c>
      <c r="AO19">
        <f t="shared" si="6"/>
        <v>45</v>
      </c>
      <c r="AP19">
        <f t="shared" si="7"/>
        <v>2</v>
      </c>
      <c r="AQ19">
        <f t="shared" si="8"/>
        <v>0</v>
      </c>
      <c r="AR19">
        <f t="shared" si="9"/>
        <v>10</v>
      </c>
    </row>
    <row r="20" spans="1:44">
      <c r="A20" s="1">
        <v>46110.144537037035</v>
      </c>
      <c r="B20">
        <v>300.2</v>
      </c>
      <c r="C20">
        <v>256</v>
      </c>
      <c r="D20">
        <v>94</v>
      </c>
      <c r="E20">
        <v>3</v>
      </c>
      <c r="F20">
        <v>42</v>
      </c>
      <c r="G20">
        <v>106</v>
      </c>
      <c r="H20">
        <v>9</v>
      </c>
      <c r="I20">
        <v>5</v>
      </c>
      <c r="J20">
        <v>23</v>
      </c>
      <c r="K20">
        <v>15</v>
      </c>
      <c r="L20">
        <v>1</v>
      </c>
      <c r="M20">
        <v>1</v>
      </c>
      <c r="N20">
        <v>12</v>
      </c>
      <c r="O20">
        <v>2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29</v>
      </c>
      <c r="X20">
        <v>0</v>
      </c>
      <c r="Y20">
        <v>2</v>
      </c>
      <c r="Z20">
        <v>11</v>
      </c>
      <c r="AA20">
        <v>15</v>
      </c>
      <c r="AB20">
        <v>1</v>
      </c>
      <c r="AC20">
        <v>0</v>
      </c>
      <c r="AD20">
        <v>1</v>
      </c>
      <c r="AE20">
        <v>10</v>
      </c>
      <c r="AF20">
        <v>1</v>
      </c>
      <c r="AG20">
        <v>0</v>
      </c>
      <c r="AH20">
        <v>0</v>
      </c>
      <c r="AJ20">
        <f t="shared" si="2"/>
        <v>17</v>
      </c>
      <c r="AK20">
        <f t="shared" si="3"/>
        <v>3</v>
      </c>
      <c r="AL20">
        <f t="shared" si="4"/>
        <v>1</v>
      </c>
      <c r="AM20">
        <f t="shared" si="5"/>
        <v>12</v>
      </c>
      <c r="AO20">
        <f t="shared" si="6"/>
        <v>54</v>
      </c>
      <c r="AP20">
        <f t="shared" si="7"/>
        <v>2</v>
      </c>
      <c r="AQ20">
        <f t="shared" si="8"/>
        <v>2</v>
      </c>
      <c r="AR20">
        <f t="shared" si="9"/>
        <v>12</v>
      </c>
    </row>
    <row r="21" spans="1:44">
      <c r="A21" s="1">
        <v>46110.147685185184</v>
      </c>
      <c r="B21">
        <v>360.24</v>
      </c>
      <c r="C21">
        <v>312</v>
      </c>
      <c r="D21">
        <v>114</v>
      </c>
      <c r="E21">
        <v>3</v>
      </c>
      <c r="F21">
        <v>50</v>
      </c>
      <c r="G21">
        <v>129</v>
      </c>
      <c r="H21">
        <v>9</v>
      </c>
      <c r="I21">
        <v>6</v>
      </c>
      <c r="J21">
        <v>28</v>
      </c>
      <c r="K21">
        <v>20</v>
      </c>
      <c r="L21">
        <v>1</v>
      </c>
      <c r="M21">
        <v>1</v>
      </c>
      <c r="N21">
        <v>12</v>
      </c>
      <c r="O21">
        <v>4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38</v>
      </c>
      <c r="X21">
        <v>0</v>
      </c>
      <c r="Y21">
        <v>2</v>
      </c>
      <c r="Z21">
        <v>13</v>
      </c>
      <c r="AA21">
        <v>16</v>
      </c>
      <c r="AB21">
        <v>1</v>
      </c>
      <c r="AC21">
        <v>0</v>
      </c>
      <c r="AD21">
        <v>1</v>
      </c>
      <c r="AE21">
        <v>12</v>
      </c>
      <c r="AF21">
        <v>1</v>
      </c>
      <c r="AG21">
        <v>0</v>
      </c>
      <c r="AH21">
        <v>0</v>
      </c>
      <c r="AJ21">
        <f t="shared" si="2"/>
        <v>24</v>
      </c>
      <c r="AK21">
        <f t="shared" si="3"/>
        <v>3</v>
      </c>
      <c r="AL21">
        <f t="shared" si="4"/>
        <v>1</v>
      </c>
      <c r="AM21">
        <f t="shared" si="5"/>
        <v>12</v>
      </c>
      <c r="AO21">
        <f t="shared" si="6"/>
        <v>66</v>
      </c>
      <c r="AP21">
        <f t="shared" si="7"/>
        <v>2</v>
      </c>
      <c r="AQ21">
        <f t="shared" si="8"/>
        <v>2</v>
      </c>
      <c r="AR21">
        <f t="shared" si="9"/>
        <v>14</v>
      </c>
    </row>
    <row r="22" spans="1:44">
      <c r="A22" s="1">
        <v>46110.150729166664</v>
      </c>
      <c r="B22">
        <v>420.28</v>
      </c>
      <c r="C22">
        <v>376</v>
      </c>
      <c r="D22">
        <v>134</v>
      </c>
      <c r="E22">
        <v>3</v>
      </c>
      <c r="F22">
        <v>60</v>
      </c>
      <c r="G22">
        <v>152</v>
      </c>
      <c r="H22">
        <v>12</v>
      </c>
      <c r="I22">
        <v>6</v>
      </c>
      <c r="J22">
        <v>32</v>
      </c>
      <c r="K22">
        <v>25</v>
      </c>
      <c r="L22">
        <v>2</v>
      </c>
      <c r="M22">
        <v>1</v>
      </c>
      <c r="N22">
        <v>12</v>
      </c>
      <c r="O22">
        <v>4</v>
      </c>
      <c r="P22">
        <v>3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46</v>
      </c>
      <c r="X22">
        <v>0</v>
      </c>
      <c r="Y22">
        <v>2</v>
      </c>
      <c r="Z22">
        <v>14</v>
      </c>
      <c r="AA22">
        <v>17</v>
      </c>
      <c r="AB22">
        <v>1</v>
      </c>
      <c r="AC22">
        <v>0</v>
      </c>
      <c r="AD22">
        <v>1</v>
      </c>
      <c r="AE22">
        <v>12</v>
      </c>
      <c r="AF22">
        <v>3</v>
      </c>
      <c r="AG22">
        <v>0</v>
      </c>
      <c r="AH22">
        <v>0</v>
      </c>
      <c r="AJ22">
        <f t="shared" si="2"/>
        <v>30</v>
      </c>
      <c r="AK22">
        <f t="shared" si="3"/>
        <v>5</v>
      </c>
      <c r="AL22">
        <f t="shared" si="4"/>
        <v>1</v>
      </c>
      <c r="AM22">
        <f t="shared" si="5"/>
        <v>12</v>
      </c>
      <c r="AO22">
        <f t="shared" si="6"/>
        <v>75</v>
      </c>
      <c r="AP22">
        <f t="shared" si="7"/>
        <v>4</v>
      </c>
      <c r="AQ22">
        <f t="shared" si="8"/>
        <v>2</v>
      </c>
      <c r="AR22">
        <f t="shared" si="9"/>
        <v>15</v>
      </c>
    </row>
    <row r="23" spans="1:44">
      <c r="A23" s="1">
        <v>46110.154282407406</v>
      </c>
      <c r="B23">
        <v>480.33</v>
      </c>
      <c r="C23">
        <v>417</v>
      </c>
      <c r="D23">
        <v>155</v>
      </c>
      <c r="E23">
        <v>5</v>
      </c>
      <c r="F23">
        <v>68</v>
      </c>
      <c r="G23">
        <v>176</v>
      </c>
      <c r="H23">
        <v>12</v>
      </c>
      <c r="I23">
        <v>9</v>
      </c>
      <c r="J23">
        <v>32</v>
      </c>
      <c r="K23">
        <v>32</v>
      </c>
      <c r="L23">
        <v>2</v>
      </c>
      <c r="M23">
        <v>1</v>
      </c>
      <c r="N23">
        <v>12</v>
      </c>
      <c r="O23">
        <v>5</v>
      </c>
      <c r="P23">
        <v>4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60</v>
      </c>
      <c r="X23">
        <v>0</v>
      </c>
      <c r="Y23">
        <v>2</v>
      </c>
      <c r="Z23">
        <v>14</v>
      </c>
      <c r="AA23">
        <v>17</v>
      </c>
      <c r="AB23">
        <v>1</v>
      </c>
      <c r="AC23">
        <v>0</v>
      </c>
      <c r="AD23">
        <v>1</v>
      </c>
      <c r="AE23">
        <v>13</v>
      </c>
      <c r="AF23">
        <v>3</v>
      </c>
      <c r="AG23">
        <v>0</v>
      </c>
      <c r="AH23">
        <v>0</v>
      </c>
      <c r="AJ23">
        <f t="shared" si="2"/>
        <v>38</v>
      </c>
      <c r="AK23">
        <f t="shared" si="3"/>
        <v>6</v>
      </c>
      <c r="AL23">
        <f t="shared" si="4"/>
        <v>1</v>
      </c>
      <c r="AM23">
        <f t="shared" si="5"/>
        <v>12</v>
      </c>
      <c r="AO23">
        <f t="shared" si="6"/>
        <v>90</v>
      </c>
      <c r="AP23">
        <f t="shared" si="7"/>
        <v>4</v>
      </c>
      <c r="AQ23">
        <f t="shared" si="8"/>
        <v>2</v>
      </c>
      <c r="AR23">
        <f t="shared" si="9"/>
        <v>15</v>
      </c>
    </row>
    <row r="24" spans="1:44">
      <c r="A24" s="1">
        <v>46110.157199074078</v>
      </c>
      <c r="B24">
        <v>540.37</v>
      </c>
      <c r="C24">
        <v>473</v>
      </c>
      <c r="D24">
        <v>167</v>
      </c>
      <c r="E24">
        <v>5</v>
      </c>
      <c r="F24">
        <v>76</v>
      </c>
      <c r="G24">
        <v>192</v>
      </c>
      <c r="H24">
        <v>17</v>
      </c>
      <c r="I24">
        <v>10</v>
      </c>
      <c r="J24">
        <v>36</v>
      </c>
      <c r="K24">
        <v>38</v>
      </c>
      <c r="L24">
        <v>2</v>
      </c>
      <c r="M24">
        <v>2</v>
      </c>
      <c r="N24">
        <v>12</v>
      </c>
      <c r="O24">
        <v>5</v>
      </c>
      <c r="P24">
        <v>4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67</v>
      </c>
      <c r="X24">
        <v>0</v>
      </c>
      <c r="Y24">
        <v>2</v>
      </c>
      <c r="Z24">
        <v>14</v>
      </c>
      <c r="AA24">
        <v>19</v>
      </c>
      <c r="AB24">
        <v>1</v>
      </c>
      <c r="AC24">
        <v>0</v>
      </c>
      <c r="AD24">
        <v>1</v>
      </c>
      <c r="AE24">
        <v>14</v>
      </c>
      <c r="AF24">
        <v>5</v>
      </c>
      <c r="AG24">
        <v>0</v>
      </c>
      <c r="AH24">
        <v>0</v>
      </c>
      <c r="AJ24">
        <f t="shared" si="2"/>
        <v>44</v>
      </c>
      <c r="AK24">
        <f t="shared" si="3"/>
        <v>6</v>
      </c>
      <c r="AL24">
        <f t="shared" si="4"/>
        <v>2</v>
      </c>
      <c r="AM24">
        <f t="shared" si="5"/>
        <v>12</v>
      </c>
      <c r="AO24">
        <f t="shared" si="6"/>
        <v>100</v>
      </c>
      <c r="AP24">
        <f t="shared" si="7"/>
        <v>6</v>
      </c>
      <c r="AQ24">
        <f t="shared" si="8"/>
        <v>2</v>
      </c>
      <c r="AR24">
        <f t="shared" si="9"/>
        <v>15</v>
      </c>
    </row>
    <row r="25" spans="1:44">
      <c r="A25" s="1">
        <v>46110.160046296296</v>
      </c>
      <c r="B25">
        <v>600.41</v>
      </c>
      <c r="C25">
        <v>522</v>
      </c>
      <c r="D25">
        <v>182</v>
      </c>
      <c r="E25">
        <v>7</v>
      </c>
      <c r="F25">
        <v>89</v>
      </c>
      <c r="G25">
        <v>216</v>
      </c>
      <c r="H25">
        <v>17</v>
      </c>
      <c r="I25">
        <v>11</v>
      </c>
      <c r="J25">
        <v>40</v>
      </c>
      <c r="K25">
        <v>41</v>
      </c>
      <c r="L25">
        <v>2</v>
      </c>
      <c r="M25">
        <v>2</v>
      </c>
      <c r="N25">
        <v>16</v>
      </c>
      <c r="O25">
        <v>6</v>
      </c>
      <c r="P25">
        <v>4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71</v>
      </c>
      <c r="X25">
        <v>0</v>
      </c>
      <c r="Y25">
        <v>2</v>
      </c>
      <c r="Z25">
        <v>19</v>
      </c>
      <c r="AA25">
        <v>23</v>
      </c>
      <c r="AB25">
        <v>1</v>
      </c>
      <c r="AC25">
        <v>0</v>
      </c>
      <c r="AD25">
        <v>1</v>
      </c>
      <c r="AE25">
        <v>14</v>
      </c>
      <c r="AF25">
        <v>5</v>
      </c>
      <c r="AG25">
        <v>0</v>
      </c>
      <c r="AH25">
        <v>0</v>
      </c>
      <c r="AJ25">
        <f t="shared" si="2"/>
        <v>48</v>
      </c>
      <c r="AK25">
        <f t="shared" si="3"/>
        <v>6</v>
      </c>
      <c r="AL25">
        <f t="shared" si="4"/>
        <v>2</v>
      </c>
      <c r="AM25">
        <f t="shared" si="5"/>
        <v>16</v>
      </c>
      <c r="AO25">
        <f t="shared" si="6"/>
        <v>108</v>
      </c>
      <c r="AP25">
        <f t="shared" si="7"/>
        <v>6</v>
      </c>
      <c r="AQ25">
        <f t="shared" si="8"/>
        <v>2</v>
      </c>
      <c r="AR25">
        <f t="shared" si="9"/>
        <v>20</v>
      </c>
    </row>
    <row r="26" spans="1:44">
      <c r="A26" s="1">
        <v>46110.162858796299</v>
      </c>
      <c r="B26">
        <v>660.45</v>
      </c>
      <c r="C26">
        <v>578</v>
      </c>
      <c r="D26">
        <v>200</v>
      </c>
      <c r="E26">
        <v>8</v>
      </c>
      <c r="F26">
        <v>93</v>
      </c>
      <c r="G26">
        <v>234</v>
      </c>
      <c r="H26">
        <v>19</v>
      </c>
      <c r="I26">
        <v>11</v>
      </c>
      <c r="J26">
        <v>42</v>
      </c>
      <c r="K26">
        <v>43</v>
      </c>
      <c r="L26">
        <v>2</v>
      </c>
      <c r="M26">
        <v>2</v>
      </c>
      <c r="N26">
        <v>17</v>
      </c>
      <c r="O26">
        <v>7</v>
      </c>
      <c r="P26">
        <v>4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72</v>
      </c>
      <c r="X26">
        <v>0</v>
      </c>
      <c r="Y26">
        <v>2</v>
      </c>
      <c r="Z26">
        <v>20</v>
      </c>
      <c r="AA26">
        <v>26</v>
      </c>
      <c r="AB26">
        <v>1</v>
      </c>
      <c r="AC26">
        <v>0</v>
      </c>
      <c r="AD26">
        <v>1</v>
      </c>
      <c r="AE26">
        <v>15</v>
      </c>
      <c r="AF26">
        <v>5</v>
      </c>
      <c r="AG26">
        <v>0</v>
      </c>
      <c r="AH26">
        <v>0</v>
      </c>
      <c r="AJ26">
        <f t="shared" si="2"/>
        <v>51</v>
      </c>
      <c r="AK26">
        <f t="shared" si="3"/>
        <v>6</v>
      </c>
      <c r="AL26">
        <f t="shared" si="4"/>
        <v>2</v>
      </c>
      <c r="AM26">
        <f t="shared" si="5"/>
        <v>17</v>
      </c>
      <c r="AO26">
        <f t="shared" si="6"/>
        <v>113</v>
      </c>
      <c r="AP26">
        <f t="shared" si="7"/>
        <v>6</v>
      </c>
      <c r="AQ26">
        <f t="shared" si="8"/>
        <v>2</v>
      </c>
      <c r="AR26">
        <f t="shared" si="9"/>
        <v>21</v>
      </c>
    </row>
    <row r="27" spans="1:44">
      <c r="A27" s="1">
        <v>46110.16578703704</v>
      </c>
      <c r="B27">
        <v>720.49</v>
      </c>
      <c r="C27">
        <v>626</v>
      </c>
      <c r="D27">
        <v>218</v>
      </c>
      <c r="E27">
        <v>12</v>
      </c>
      <c r="F27">
        <v>104</v>
      </c>
      <c r="G27">
        <v>259</v>
      </c>
      <c r="H27">
        <v>20</v>
      </c>
      <c r="I27">
        <v>12</v>
      </c>
      <c r="J27">
        <v>45</v>
      </c>
      <c r="K27">
        <v>51</v>
      </c>
      <c r="L27">
        <v>5</v>
      </c>
      <c r="M27">
        <v>2</v>
      </c>
      <c r="N27">
        <v>17</v>
      </c>
      <c r="O27">
        <v>7</v>
      </c>
      <c r="P27">
        <v>5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80</v>
      </c>
      <c r="X27">
        <v>0</v>
      </c>
      <c r="Y27">
        <v>2</v>
      </c>
      <c r="Z27">
        <v>22</v>
      </c>
      <c r="AA27">
        <v>30</v>
      </c>
      <c r="AB27">
        <v>1</v>
      </c>
      <c r="AC27">
        <v>0</v>
      </c>
      <c r="AD27">
        <v>1</v>
      </c>
      <c r="AE27">
        <v>15</v>
      </c>
      <c r="AF27">
        <v>6</v>
      </c>
      <c r="AG27">
        <v>0</v>
      </c>
      <c r="AH27">
        <v>0</v>
      </c>
      <c r="AJ27">
        <f t="shared" si="2"/>
        <v>59</v>
      </c>
      <c r="AK27">
        <f t="shared" si="3"/>
        <v>11</v>
      </c>
      <c r="AL27">
        <f t="shared" si="4"/>
        <v>2</v>
      </c>
      <c r="AM27">
        <f t="shared" si="5"/>
        <v>17</v>
      </c>
      <c r="AO27">
        <f t="shared" si="6"/>
        <v>125</v>
      </c>
      <c r="AP27">
        <f t="shared" si="7"/>
        <v>7</v>
      </c>
      <c r="AQ27">
        <f t="shared" si="8"/>
        <v>2</v>
      </c>
      <c r="AR27">
        <f t="shared" si="9"/>
        <v>23</v>
      </c>
    </row>
    <row r="28" spans="1:44">
      <c r="A28" s="1">
        <v>46110.168587962966</v>
      </c>
      <c r="B28">
        <v>780.53</v>
      </c>
      <c r="C28">
        <v>678</v>
      </c>
      <c r="D28">
        <v>233</v>
      </c>
      <c r="E28">
        <v>13</v>
      </c>
      <c r="F28">
        <v>112</v>
      </c>
      <c r="G28">
        <v>278</v>
      </c>
      <c r="H28">
        <v>20</v>
      </c>
      <c r="I28">
        <v>12</v>
      </c>
      <c r="J28">
        <v>48</v>
      </c>
      <c r="K28">
        <v>57</v>
      </c>
      <c r="L28">
        <v>6</v>
      </c>
      <c r="M28">
        <v>2</v>
      </c>
      <c r="N28">
        <v>17</v>
      </c>
      <c r="O28">
        <v>7</v>
      </c>
      <c r="P28">
        <v>6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88</v>
      </c>
      <c r="X28">
        <v>0</v>
      </c>
      <c r="Y28">
        <v>2</v>
      </c>
      <c r="Z28">
        <v>22</v>
      </c>
      <c r="AA28">
        <v>30</v>
      </c>
      <c r="AB28">
        <v>1</v>
      </c>
      <c r="AC28">
        <v>0</v>
      </c>
      <c r="AD28">
        <v>1</v>
      </c>
      <c r="AE28">
        <v>15</v>
      </c>
      <c r="AF28">
        <v>6</v>
      </c>
      <c r="AG28">
        <v>0</v>
      </c>
      <c r="AH28">
        <v>0</v>
      </c>
      <c r="AJ28">
        <f t="shared" si="2"/>
        <v>65</v>
      </c>
      <c r="AK28">
        <f t="shared" si="3"/>
        <v>13</v>
      </c>
      <c r="AL28">
        <f t="shared" si="4"/>
        <v>2</v>
      </c>
      <c r="AM28">
        <f t="shared" si="5"/>
        <v>17</v>
      </c>
      <c r="AO28">
        <f t="shared" si="6"/>
        <v>133</v>
      </c>
      <c r="AP28">
        <f t="shared" si="7"/>
        <v>7</v>
      </c>
      <c r="AQ28">
        <f t="shared" si="8"/>
        <v>2</v>
      </c>
      <c r="AR28">
        <f t="shared" si="9"/>
        <v>23</v>
      </c>
    </row>
    <row r="29" spans="1:44">
      <c r="A29" s="1">
        <v>46110.171770833331</v>
      </c>
      <c r="B29">
        <v>840.57</v>
      </c>
      <c r="C29">
        <v>727</v>
      </c>
      <c r="D29">
        <v>246</v>
      </c>
      <c r="E29">
        <v>13</v>
      </c>
      <c r="F29">
        <v>122</v>
      </c>
      <c r="G29">
        <v>300</v>
      </c>
      <c r="H29">
        <v>22</v>
      </c>
      <c r="I29">
        <v>14</v>
      </c>
      <c r="J29">
        <v>50</v>
      </c>
      <c r="K29">
        <v>57</v>
      </c>
      <c r="L29">
        <v>6</v>
      </c>
      <c r="M29">
        <v>3</v>
      </c>
      <c r="N29">
        <v>19</v>
      </c>
      <c r="O29">
        <v>8</v>
      </c>
      <c r="P29">
        <v>6</v>
      </c>
      <c r="Q29">
        <v>0</v>
      </c>
      <c r="R29">
        <v>0</v>
      </c>
      <c r="S29">
        <v>2</v>
      </c>
      <c r="T29">
        <v>1</v>
      </c>
      <c r="U29">
        <v>0</v>
      </c>
      <c r="V29">
        <v>0</v>
      </c>
      <c r="W29">
        <v>89</v>
      </c>
      <c r="X29">
        <v>0</v>
      </c>
      <c r="Y29">
        <v>3</v>
      </c>
      <c r="Z29">
        <v>24</v>
      </c>
      <c r="AA29">
        <v>32</v>
      </c>
      <c r="AB29">
        <v>1</v>
      </c>
      <c r="AC29">
        <v>0</v>
      </c>
      <c r="AD29">
        <v>1</v>
      </c>
      <c r="AE29">
        <v>18</v>
      </c>
      <c r="AF29">
        <v>6</v>
      </c>
      <c r="AG29">
        <v>0</v>
      </c>
      <c r="AH29">
        <v>0</v>
      </c>
      <c r="AJ29">
        <f t="shared" si="2"/>
        <v>67</v>
      </c>
      <c r="AK29">
        <f t="shared" si="3"/>
        <v>13</v>
      </c>
      <c r="AL29">
        <f t="shared" si="4"/>
        <v>3</v>
      </c>
      <c r="AM29">
        <f t="shared" si="5"/>
        <v>19</v>
      </c>
      <c r="AO29">
        <f t="shared" si="6"/>
        <v>139</v>
      </c>
      <c r="AP29">
        <f t="shared" si="7"/>
        <v>7</v>
      </c>
      <c r="AQ29">
        <f t="shared" si="8"/>
        <v>3</v>
      </c>
      <c r="AR29">
        <f t="shared" si="9"/>
        <v>25</v>
      </c>
    </row>
    <row r="30" spans="1:44">
      <c r="A30" s="1">
        <v>46110.174861111111</v>
      </c>
      <c r="B30">
        <v>900.61</v>
      </c>
      <c r="C30">
        <v>776</v>
      </c>
      <c r="D30">
        <v>262</v>
      </c>
      <c r="E30">
        <v>13</v>
      </c>
      <c r="F30">
        <v>135</v>
      </c>
      <c r="G30">
        <v>323</v>
      </c>
      <c r="H30">
        <v>23</v>
      </c>
      <c r="I30">
        <v>15</v>
      </c>
      <c r="J30">
        <v>55</v>
      </c>
      <c r="K30">
        <v>60</v>
      </c>
      <c r="L30">
        <v>6</v>
      </c>
      <c r="M30">
        <v>5</v>
      </c>
      <c r="N30">
        <v>21</v>
      </c>
      <c r="O30">
        <v>8</v>
      </c>
      <c r="P30">
        <v>6</v>
      </c>
      <c r="Q30">
        <v>0</v>
      </c>
      <c r="R30">
        <v>0</v>
      </c>
      <c r="S30">
        <v>2</v>
      </c>
      <c r="T30">
        <v>1</v>
      </c>
      <c r="U30">
        <v>0</v>
      </c>
      <c r="V30">
        <v>0</v>
      </c>
      <c r="W30">
        <v>94</v>
      </c>
      <c r="X30">
        <v>0</v>
      </c>
      <c r="Y30">
        <v>3</v>
      </c>
      <c r="Z30">
        <v>25</v>
      </c>
      <c r="AA30">
        <v>36</v>
      </c>
      <c r="AB30">
        <v>1</v>
      </c>
      <c r="AC30">
        <v>0</v>
      </c>
      <c r="AD30">
        <v>1</v>
      </c>
      <c r="AE30">
        <v>20</v>
      </c>
      <c r="AF30">
        <v>6</v>
      </c>
      <c r="AG30">
        <v>0</v>
      </c>
      <c r="AH30">
        <v>0</v>
      </c>
      <c r="AJ30">
        <f t="shared" si="2"/>
        <v>70</v>
      </c>
      <c r="AK30">
        <f t="shared" si="3"/>
        <v>13</v>
      </c>
      <c r="AL30">
        <f t="shared" si="4"/>
        <v>5</v>
      </c>
      <c r="AM30">
        <f t="shared" si="5"/>
        <v>21</v>
      </c>
      <c r="AO30">
        <f t="shared" si="6"/>
        <v>150</v>
      </c>
      <c r="AP30">
        <f t="shared" si="7"/>
        <v>7</v>
      </c>
      <c r="AQ30">
        <f t="shared" si="8"/>
        <v>3</v>
      </c>
      <c r="AR30">
        <f t="shared" si="9"/>
        <v>26</v>
      </c>
    </row>
    <row r="31" spans="1:44">
      <c r="A31" s="1">
        <v>46110.17800925926</v>
      </c>
      <c r="B31">
        <v>960.65</v>
      </c>
      <c r="C31">
        <v>836</v>
      </c>
      <c r="D31">
        <v>280</v>
      </c>
      <c r="E31">
        <v>14</v>
      </c>
      <c r="F31">
        <v>148</v>
      </c>
      <c r="G31">
        <v>338</v>
      </c>
      <c r="H31">
        <v>24</v>
      </c>
      <c r="I31">
        <v>18</v>
      </c>
      <c r="J31">
        <v>64</v>
      </c>
      <c r="K31">
        <v>68</v>
      </c>
      <c r="L31">
        <v>6</v>
      </c>
      <c r="M31">
        <v>5</v>
      </c>
      <c r="N31">
        <v>23</v>
      </c>
      <c r="O31">
        <v>9</v>
      </c>
      <c r="P31">
        <v>6</v>
      </c>
      <c r="Q31">
        <v>0</v>
      </c>
      <c r="R31">
        <v>0</v>
      </c>
      <c r="S31">
        <v>2</v>
      </c>
      <c r="T31">
        <v>1</v>
      </c>
      <c r="U31">
        <v>0</v>
      </c>
      <c r="V31">
        <v>0</v>
      </c>
      <c r="W31">
        <v>103</v>
      </c>
      <c r="X31">
        <v>0</v>
      </c>
      <c r="Y31">
        <v>3</v>
      </c>
      <c r="Z31">
        <v>27</v>
      </c>
      <c r="AA31">
        <v>38</v>
      </c>
      <c r="AB31">
        <v>1</v>
      </c>
      <c r="AC31">
        <v>0</v>
      </c>
      <c r="AD31">
        <v>2</v>
      </c>
      <c r="AE31">
        <v>21</v>
      </c>
      <c r="AF31">
        <v>6</v>
      </c>
      <c r="AG31">
        <v>0</v>
      </c>
      <c r="AH31">
        <v>1</v>
      </c>
      <c r="AJ31">
        <f t="shared" si="2"/>
        <v>79</v>
      </c>
      <c r="AK31">
        <f t="shared" si="3"/>
        <v>13</v>
      </c>
      <c r="AL31">
        <f t="shared" si="4"/>
        <v>5</v>
      </c>
      <c r="AM31">
        <f t="shared" si="5"/>
        <v>23</v>
      </c>
      <c r="AO31">
        <f t="shared" si="6"/>
        <v>162</v>
      </c>
      <c r="AP31">
        <f t="shared" si="7"/>
        <v>7</v>
      </c>
      <c r="AQ31">
        <f t="shared" si="8"/>
        <v>3</v>
      </c>
      <c r="AR31">
        <f t="shared" si="9"/>
        <v>30</v>
      </c>
    </row>
    <row r="32" spans="1:44">
      <c r="A32" s="1">
        <v>46110.181145833332</v>
      </c>
      <c r="B32">
        <v>1020.69</v>
      </c>
      <c r="C32">
        <v>893</v>
      </c>
      <c r="D32">
        <v>296</v>
      </c>
      <c r="E32">
        <v>14</v>
      </c>
      <c r="F32">
        <v>156</v>
      </c>
      <c r="G32">
        <v>353</v>
      </c>
      <c r="H32">
        <v>27</v>
      </c>
      <c r="I32">
        <v>18</v>
      </c>
      <c r="J32">
        <v>68</v>
      </c>
      <c r="K32">
        <v>73</v>
      </c>
      <c r="L32">
        <v>7</v>
      </c>
      <c r="M32">
        <v>5</v>
      </c>
      <c r="N32">
        <v>24</v>
      </c>
      <c r="O32">
        <v>9</v>
      </c>
      <c r="P32">
        <v>9</v>
      </c>
      <c r="Q32">
        <v>0</v>
      </c>
      <c r="R32">
        <v>0</v>
      </c>
      <c r="S32">
        <v>4</v>
      </c>
      <c r="T32">
        <v>1</v>
      </c>
      <c r="U32">
        <v>0</v>
      </c>
      <c r="V32">
        <v>0</v>
      </c>
      <c r="W32">
        <v>106</v>
      </c>
      <c r="X32">
        <v>0</v>
      </c>
      <c r="Y32">
        <v>3</v>
      </c>
      <c r="Z32">
        <v>27</v>
      </c>
      <c r="AA32">
        <v>41</v>
      </c>
      <c r="AB32">
        <v>1</v>
      </c>
      <c r="AC32">
        <v>0</v>
      </c>
      <c r="AD32">
        <v>2</v>
      </c>
      <c r="AE32">
        <v>23</v>
      </c>
      <c r="AF32">
        <v>8</v>
      </c>
      <c r="AG32">
        <v>0</v>
      </c>
      <c r="AH32">
        <v>1</v>
      </c>
      <c r="AJ32">
        <f t="shared" si="2"/>
        <v>86</v>
      </c>
      <c r="AK32">
        <f t="shared" si="3"/>
        <v>17</v>
      </c>
      <c r="AL32">
        <f t="shared" si="4"/>
        <v>5</v>
      </c>
      <c r="AM32">
        <f t="shared" si="5"/>
        <v>24</v>
      </c>
      <c r="AO32">
        <f t="shared" si="6"/>
        <v>170</v>
      </c>
      <c r="AP32">
        <f t="shared" si="7"/>
        <v>9</v>
      </c>
      <c r="AQ32">
        <f t="shared" si="8"/>
        <v>3</v>
      </c>
      <c r="AR32">
        <f t="shared" si="9"/>
        <v>30</v>
      </c>
    </row>
    <row r="33" spans="1:44">
      <c r="A33" s="1">
        <v>46110.184178240743</v>
      </c>
      <c r="B33">
        <v>1080.73</v>
      </c>
      <c r="C33">
        <v>934</v>
      </c>
      <c r="D33">
        <v>317</v>
      </c>
      <c r="E33">
        <v>18</v>
      </c>
      <c r="F33">
        <v>173</v>
      </c>
      <c r="G33">
        <v>372</v>
      </c>
      <c r="H33">
        <v>27</v>
      </c>
      <c r="I33">
        <v>21</v>
      </c>
      <c r="J33">
        <v>69</v>
      </c>
      <c r="K33">
        <v>85</v>
      </c>
      <c r="L33">
        <v>7</v>
      </c>
      <c r="M33">
        <v>5</v>
      </c>
      <c r="N33">
        <v>25</v>
      </c>
      <c r="O33">
        <v>9</v>
      </c>
      <c r="P33">
        <v>9</v>
      </c>
      <c r="Q33">
        <v>0</v>
      </c>
      <c r="R33">
        <v>0</v>
      </c>
      <c r="S33">
        <v>4</v>
      </c>
      <c r="T33">
        <v>1</v>
      </c>
      <c r="U33">
        <v>0</v>
      </c>
      <c r="V33">
        <v>0</v>
      </c>
      <c r="W33">
        <v>110</v>
      </c>
      <c r="X33">
        <v>0</v>
      </c>
      <c r="Y33">
        <v>3</v>
      </c>
      <c r="Z33">
        <v>27</v>
      </c>
      <c r="AA33">
        <v>45</v>
      </c>
      <c r="AB33">
        <v>1</v>
      </c>
      <c r="AC33">
        <v>0</v>
      </c>
      <c r="AD33">
        <v>2</v>
      </c>
      <c r="AE33">
        <v>24</v>
      </c>
      <c r="AF33">
        <v>8</v>
      </c>
      <c r="AG33">
        <v>0</v>
      </c>
      <c r="AH33">
        <v>1</v>
      </c>
      <c r="AJ33">
        <f t="shared" si="2"/>
        <v>98</v>
      </c>
      <c r="AK33">
        <f t="shared" si="3"/>
        <v>17</v>
      </c>
      <c r="AL33">
        <f t="shared" si="4"/>
        <v>5</v>
      </c>
      <c r="AM33">
        <f t="shared" si="5"/>
        <v>25</v>
      </c>
      <c r="AO33">
        <f t="shared" si="6"/>
        <v>179</v>
      </c>
      <c r="AP33">
        <f t="shared" si="7"/>
        <v>9</v>
      </c>
      <c r="AQ33">
        <f t="shared" si="8"/>
        <v>3</v>
      </c>
      <c r="AR33">
        <f t="shared" si="9"/>
        <v>30</v>
      </c>
    </row>
    <row r="34" spans="1:44">
      <c r="A34" s="1">
        <v>46110.187407407408</v>
      </c>
      <c r="B34">
        <v>1140.77</v>
      </c>
      <c r="C34">
        <v>978</v>
      </c>
      <c r="D34">
        <v>325</v>
      </c>
      <c r="E34">
        <v>19</v>
      </c>
      <c r="F34">
        <v>185</v>
      </c>
      <c r="G34">
        <v>397</v>
      </c>
      <c r="H34">
        <v>28</v>
      </c>
      <c r="I34">
        <v>21</v>
      </c>
      <c r="J34">
        <v>70</v>
      </c>
      <c r="K34">
        <v>95</v>
      </c>
      <c r="L34">
        <v>7</v>
      </c>
      <c r="M34">
        <v>5</v>
      </c>
      <c r="N34">
        <v>26</v>
      </c>
      <c r="O34">
        <v>10</v>
      </c>
      <c r="P34">
        <v>9</v>
      </c>
      <c r="Q34">
        <v>0</v>
      </c>
      <c r="R34">
        <v>0</v>
      </c>
      <c r="S34">
        <v>4</v>
      </c>
      <c r="T34">
        <v>1</v>
      </c>
      <c r="U34">
        <v>0</v>
      </c>
      <c r="V34">
        <v>0</v>
      </c>
      <c r="W34">
        <v>117</v>
      </c>
      <c r="X34">
        <v>0</v>
      </c>
      <c r="Y34">
        <v>3</v>
      </c>
      <c r="Z34">
        <v>28</v>
      </c>
      <c r="AA34">
        <v>46</v>
      </c>
      <c r="AB34">
        <v>1</v>
      </c>
      <c r="AC34">
        <v>0</v>
      </c>
      <c r="AD34">
        <v>3</v>
      </c>
      <c r="AE34">
        <v>28</v>
      </c>
      <c r="AF34">
        <v>8</v>
      </c>
      <c r="AG34">
        <v>0</v>
      </c>
      <c r="AH34">
        <v>1</v>
      </c>
      <c r="AJ34">
        <f t="shared" si="2"/>
        <v>109</v>
      </c>
      <c r="AK34">
        <f t="shared" si="3"/>
        <v>17</v>
      </c>
      <c r="AL34">
        <f t="shared" si="4"/>
        <v>5</v>
      </c>
      <c r="AM34">
        <f t="shared" si="5"/>
        <v>26</v>
      </c>
      <c r="AO34">
        <f t="shared" si="6"/>
        <v>191</v>
      </c>
      <c r="AP34">
        <f t="shared" si="7"/>
        <v>9</v>
      </c>
      <c r="AQ34">
        <f t="shared" si="8"/>
        <v>3</v>
      </c>
      <c r="AR34">
        <f t="shared" si="9"/>
        <v>32</v>
      </c>
    </row>
    <row r="35" spans="1:44">
      <c r="A35" s="1">
        <v>46110.190439814818</v>
      </c>
      <c r="B35">
        <v>1200.81</v>
      </c>
      <c r="C35">
        <v>1020</v>
      </c>
      <c r="D35">
        <v>352</v>
      </c>
      <c r="E35">
        <v>22</v>
      </c>
      <c r="F35">
        <v>190</v>
      </c>
      <c r="G35">
        <v>418</v>
      </c>
      <c r="H35">
        <v>33</v>
      </c>
      <c r="I35">
        <v>23</v>
      </c>
      <c r="J35">
        <v>73</v>
      </c>
      <c r="K35">
        <v>98</v>
      </c>
      <c r="L35">
        <v>7</v>
      </c>
      <c r="M35">
        <v>5</v>
      </c>
      <c r="N35">
        <v>26</v>
      </c>
      <c r="O35">
        <v>10</v>
      </c>
      <c r="P35">
        <v>9</v>
      </c>
      <c r="Q35">
        <v>0</v>
      </c>
      <c r="R35">
        <v>0</v>
      </c>
      <c r="S35">
        <v>4</v>
      </c>
      <c r="T35">
        <v>1</v>
      </c>
      <c r="U35">
        <v>0</v>
      </c>
      <c r="V35">
        <v>0</v>
      </c>
      <c r="W35">
        <v>129</v>
      </c>
      <c r="X35">
        <v>0</v>
      </c>
      <c r="Y35">
        <v>3</v>
      </c>
      <c r="Z35">
        <v>29</v>
      </c>
      <c r="AA35">
        <v>50</v>
      </c>
      <c r="AB35">
        <v>1</v>
      </c>
      <c r="AC35">
        <v>0</v>
      </c>
      <c r="AD35">
        <v>4</v>
      </c>
      <c r="AE35">
        <v>35</v>
      </c>
      <c r="AF35">
        <v>8</v>
      </c>
      <c r="AG35">
        <v>0</v>
      </c>
      <c r="AH35">
        <v>2</v>
      </c>
      <c r="AJ35">
        <f t="shared" si="2"/>
        <v>112</v>
      </c>
      <c r="AK35">
        <f t="shared" si="3"/>
        <v>17</v>
      </c>
      <c r="AL35">
        <f t="shared" si="4"/>
        <v>5</v>
      </c>
      <c r="AM35">
        <f t="shared" si="5"/>
        <v>26</v>
      </c>
      <c r="AO35">
        <f t="shared" si="6"/>
        <v>214</v>
      </c>
      <c r="AP35">
        <f t="shared" si="7"/>
        <v>9</v>
      </c>
      <c r="AQ35">
        <f t="shared" si="8"/>
        <v>3</v>
      </c>
      <c r="AR35">
        <f t="shared" si="9"/>
        <v>35</v>
      </c>
    </row>
    <row r="36" spans="1:44">
      <c r="A36" s="1">
        <v>46110.193449074075</v>
      </c>
      <c r="B36">
        <v>1260.8499999999999</v>
      </c>
      <c r="C36">
        <v>1073</v>
      </c>
      <c r="D36">
        <v>370</v>
      </c>
      <c r="E36">
        <v>24</v>
      </c>
      <c r="F36">
        <v>198</v>
      </c>
      <c r="G36">
        <v>438</v>
      </c>
      <c r="H36">
        <v>33</v>
      </c>
      <c r="I36">
        <v>25</v>
      </c>
      <c r="J36">
        <v>80</v>
      </c>
      <c r="K36">
        <v>102</v>
      </c>
      <c r="L36">
        <v>7</v>
      </c>
      <c r="M36">
        <v>5</v>
      </c>
      <c r="N36">
        <v>33</v>
      </c>
      <c r="O36">
        <v>11</v>
      </c>
      <c r="P36">
        <v>9</v>
      </c>
      <c r="Q36">
        <v>0</v>
      </c>
      <c r="R36">
        <v>0</v>
      </c>
      <c r="S36">
        <v>4</v>
      </c>
      <c r="T36">
        <v>1</v>
      </c>
      <c r="U36">
        <v>0</v>
      </c>
      <c r="V36">
        <v>0</v>
      </c>
      <c r="W36">
        <v>136</v>
      </c>
      <c r="X36">
        <v>0</v>
      </c>
      <c r="Y36">
        <v>3</v>
      </c>
      <c r="Z36">
        <v>30</v>
      </c>
      <c r="AA36">
        <v>52</v>
      </c>
      <c r="AB36">
        <v>2</v>
      </c>
      <c r="AC36">
        <v>0</v>
      </c>
      <c r="AD36">
        <v>4</v>
      </c>
      <c r="AE36">
        <v>37</v>
      </c>
      <c r="AF36">
        <v>8</v>
      </c>
      <c r="AG36">
        <v>0</v>
      </c>
      <c r="AH36">
        <v>2</v>
      </c>
      <c r="AJ36">
        <f t="shared" si="2"/>
        <v>117</v>
      </c>
      <c r="AK36">
        <f t="shared" si="3"/>
        <v>17</v>
      </c>
      <c r="AL36">
        <f t="shared" si="4"/>
        <v>5</v>
      </c>
      <c r="AM36">
        <f t="shared" si="5"/>
        <v>33</v>
      </c>
      <c r="AO36">
        <f t="shared" si="6"/>
        <v>225</v>
      </c>
      <c r="AP36">
        <f t="shared" si="7"/>
        <v>10</v>
      </c>
      <c r="AQ36">
        <f t="shared" si="8"/>
        <v>3</v>
      </c>
      <c r="AR36">
        <f t="shared" si="9"/>
        <v>36</v>
      </c>
    </row>
    <row r="37" spans="1:44">
      <c r="A37" s="1">
        <v>46110.196446759262</v>
      </c>
      <c r="B37">
        <v>1320.89</v>
      </c>
      <c r="C37">
        <v>1120</v>
      </c>
      <c r="D37">
        <v>388</v>
      </c>
      <c r="E37">
        <v>24</v>
      </c>
      <c r="F37">
        <v>211</v>
      </c>
      <c r="G37">
        <v>462</v>
      </c>
      <c r="H37">
        <v>37</v>
      </c>
      <c r="I37">
        <v>25</v>
      </c>
      <c r="J37">
        <v>86</v>
      </c>
      <c r="K37">
        <v>114</v>
      </c>
      <c r="L37">
        <v>7</v>
      </c>
      <c r="M37">
        <v>5</v>
      </c>
      <c r="N37">
        <v>35</v>
      </c>
      <c r="O37">
        <v>11</v>
      </c>
      <c r="P37">
        <v>10</v>
      </c>
      <c r="Q37">
        <v>0</v>
      </c>
      <c r="R37">
        <v>0</v>
      </c>
      <c r="S37">
        <v>5</v>
      </c>
      <c r="T37">
        <v>1</v>
      </c>
      <c r="U37">
        <v>0</v>
      </c>
      <c r="V37">
        <v>0</v>
      </c>
      <c r="W37">
        <v>150</v>
      </c>
      <c r="X37">
        <v>0</v>
      </c>
      <c r="Y37">
        <v>3</v>
      </c>
      <c r="Z37">
        <v>31</v>
      </c>
      <c r="AA37">
        <v>56</v>
      </c>
      <c r="AB37">
        <v>2</v>
      </c>
      <c r="AC37">
        <v>0</v>
      </c>
      <c r="AD37">
        <v>4</v>
      </c>
      <c r="AE37">
        <v>37</v>
      </c>
      <c r="AF37">
        <v>8</v>
      </c>
      <c r="AG37">
        <v>0</v>
      </c>
      <c r="AH37">
        <v>2</v>
      </c>
      <c r="AJ37">
        <f t="shared" si="2"/>
        <v>130</v>
      </c>
      <c r="AK37">
        <f t="shared" si="3"/>
        <v>18</v>
      </c>
      <c r="AL37">
        <f t="shared" si="4"/>
        <v>5</v>
      </c>
      <c r="AM37">
        <f t="shared" si="5"/>
        <v>35</v>
      </c>
      <c r="AO37">
        <f t="shared" si="6"/>
        <v>243</v>
      </c>
      <c r="AP37">
        <f t="shared" si="7"/>
        <v>10</v>
      </c>
      <c r="AQ37">
        <f t="shared" si="8"/>
        <v>3</v>
      </c>
      <c r="AR37">
        <f t="shared" si="9"/>
        <v>37</v>
      </c>
    </row>
    <row r="38" spans="1:44">
      <c r="A38" s="1">
        <v>46110.199525462966</v>
      </c>
      <c r="B38">
        <v>1380.94</v>
      </c>
      <c r="C38">
        <v>1162</v>
      </c>
      <c r="D38">
        <v>407</v>
      </c>
      <c r="E38">
        <v>24</v>
      </c>
      <c r="F38">
        <v>222</v>
      </c>
      <c r="G38">
        <v>488</v>
      </c>
      <c r="H38">
        <v>38</v>
      </c>
      <c r="I38">
        <v>25</v>
      </c>
      <c r="J38">
        <v>87</v>
      </c>
      <c r="K38">
        <v>124</v>
      </c>
      <c r="L38">
        <v>7</v>
      </c>
      <c r="M38">
        <v>5</v>
      </c>
      <c r="N38">
        <v>37</v>
      </c>
      <c r="O38">
        <v>11</v>
      </c>
      <c r="P38">
        <v>10</v>
      </c>
      <c r="Q38">
        <v>0</v>
      </c>
      <c r="R38">
        <v>0</v>
      </c>
      <c r="S38">
        <v>5</v>
      </c>
      <c r="T38">
        <v>1</v>
      </c>
      <c r="U38">
        <v>0</v>
      </c>
      <c r="V38">
        <v>0</v>
      </c>
      <c r="W38">
        <v>159</v>
      </c>
      <c r="X38">
        <v>0</v>
      </c>
      <c r="Y38">
        <v>3</v>
      </c>
      <c r="Z38">
        <v>34</v>
      </c>
      <c r="AA38">
        <v>59</v>
      </c>
      <c r="AB38">
        <v>2</v>
      </c>
      <c r="AC38">
        <v>0</v>
      </c>
      <c r="AD38">
        <v>4</v>
      </c>
      <c r="AE38">
        <v>42</v>
      </c>
      <c r="AF38">
        <v>8</v>
      </c>
      <c r="AG38">
        <v>0</v>
      </c>
      <c r="AH38">
        <v>3</v>
      </c>
      <c r="AJ38">
        <f t="shared" si="2"/>
        <v>140</v>
      </c>
      <c r="AK38">
        <f t="shared" si="3"/>
        <v>18</v>
      </c>
      <c r="AL38">
        <f t="shared" si="4"/>
        <v>5</v>
      </c>
      <c r="AM38">
        <f t="shared" si="5"/>
        <v>37</v>
      </c>
      <c r="AO38">
        <f t="shared" si="6"/>
        <v>260</v>
      </c>
      <c r="AP38">
        <f t="shared" si="7"/>
        <v>10</v>
      </c>
      <c r="AQ38">
        <f t="shared" si="8"/>
        <v>3</v>
      </c>
      <c r="AR38">
        <f t="shared" si="9"/>
        <v>41</v>
      </c>
    </row>
    <row r="39" spans="1:44">
      <c r="A39" s="1">
        <v>46110.202731481484</v>
      </c>
      <c r="B39">
        <v>1440.98</v>
      </c>
      <c r="C39">
        <v>1203</v>
      </c>
      <c r="D39">
        <v>427</v>
      </c>
      <c r="E39">
        <v>24</v>
      </c>
      <c r="F39">
        <v>242</v>
      </c>
      <c r="G39">
        <v>508</v>
      </c>
      <c r="H39">
        <v>39</v>
      </c>
      <c r="I39">
        <v>26</v>
      </c>
      <c r="J39">
        <v>91</v>
      </c>
      <c r="K39">
        <v>133</v>
      </c>
      <c r="L39">
        <v>7</v>
      </c>
      <c r="M39">
        <v>5</v>
      </c>
      <c r="N39">
        <v>38</v>
      </c>
      <c r="O39">
        <v>11</v>
      </c>
      <c r="P39">
        <v>10</v>
      </c>
      <c r="Q39">
        <v>0</v>
      </c>
      <c r="R39">
        <v>0</v>
      </c>
      <c r="S39">
        <v>6</v>
      </c>
      <c r="T39">
        <v>1</v>
      </c>
      <c r="U39">
        <v>0</v>
      </c>
      <c r="V39">
        <v>0</v>
      </c>
      <c r="W39">
        <v>166</v>
      </c>
      <c r="X39">
        <v>0</v>
      </c>
      <c r="Y39">
        <v>3</v>
      </c>
      <c r="Z39">
        <v>37</v>
      </c>
      <c r="AA39">
        <v>63</v>
      </c>
      <c r="AB39">
        <v>2</v>
      </c>
      <c r="AC39">
        <v>0</v>
      </c>
      <c r="AD39">
        <v>4</v>
      </c>
      <c r="AE39">
        <v>44</v>
      </c>
      <c r="AF39">
        <v>8</v>
      </c>
      <c r="AG39">
        <v>0</v>
      </c>
      <c r="AH39">
        <v>3</v>
      </c>
      <c r="AJ39">
        <f t="shared" si="2"/>
        <v>150</v>
      </c>
      <c r="AK39">
        <f t="shared" si="3"/>
        <v>18</v>
      </c>
      <c r="AL39">
        <f t="shared" si="4"/>
        <v>5</v>
      </c>
      <c r="AM39">
        <f t="shared" si="5"/>
        <v>38</v>
      </c>
      <c r="AO39">
        <f t="shared" si="6"/>
        <v>273</v>
      </c>
      <c r="AP39">
        <f t="shared" si="7"/>
        <v>10</v>
      </c>
      <c r="AQ39">
        <f t="shared" si="8"/>
        <v>3</v>
      </c>
      <c r="AR39">
        <f t="shared" si="9"/>
        <v>44</v>
      </c>
    </row>
    <row r="40" spans="1:44">
      <c r="A40" s="1">
        <v>46110.205775462964</v>
      </c>
      <c r="B40">
        <v>1501.02</v>
      </c>
      <c r="C40">
        <v>1253</v>
      </c>
      <c r="D40">
        <v>440</v>
      </c>
      <c r="E40">
        <v>24</v>
      </c>
      <c r="F40">
        <v>256</v>
      </c>
      <c r="G40">
        <v>525</v>
      </c>
      <c r="H40">
        <v>41</v>
      </c>
      <c r="I40">
        <v>27</v>
      </c>
      <c r="J40">
        <v>93</v>
      </c>
      <c r="K40">
        <v>136</v>
      </c>
      <c r="L40">
        <v>7</v>
      </c>
      <c r="M40">
        <v>6</v>
      </c>
      <c r="N40">
        <v>38</v>
      </c>
      <c r="O40">
        <v>11</v>
      </c>
      <c r="P40">
        <v>11</v>
      </c>
      <c r="Q40">
        <v>0</v>
      </c>
      <c r="R40">
        <v>0</v>
      </c>
      <c r="S40">
        <v>6</v>
      </c>
      <c r="T40">
        <v>1</v>
      </c>
      <c r="U40">
        <v>0</v>
      </c>
      <c r="V40">
        <v>0</v>
      </c>
      <c r="W40">
        <v>172</v>
      </c>
      <c r="X40">
        <v>0</v>
      </c>
      <c r="Y40">
        <v>3</v>
      </c>
      <c r="Z40">
        <v>39</v>
      </c>
      <c r="AA40">
        <v>64</v>
      </c>
      <c r="AB40">
        <v>2</v>
      </c>
      <c r="AC40">
        <v>0</v>
      </c>
      <c r="AD40">
        <v>4</v>
      </c>
      <c r="AE40">
        <v>45</v>
      </c>
      <c r="AF40">
        <v>8</v>
      </c>
      <c r="AG40">
        <v>0</v>
      </c>
      <c r="AH40">
        <v>3</v>
      </c>
      <c r="AJ40">
        <f t="shared" si="2"/>
        <v>153</v>
      </c>
      <c r="AK40">
        <f t="shared" si="3"/>
        <v>19</v>
      </c>
      <c r="AL40">
        <f t="shared" si="4"/>
        <v>6</v>
      </c>
      <c r="AM40">
        <f t="shared" si="5"/>
        <v>38</v>
      </c>
      <c r="AO40">
        <f t="shared" si="6"/>
        <v>281</v>
      </c>
      <c r="AP40">
        <f t="shared" si="7"/>
        <v>10</v>
      </c>
      <c r="AQ40">
        <f t="shared" si="8"/>
        <v>3</v>
      </c>
      <c r="AR40">
        <f t="shared" si="9"/>
        <v>46</v>
      </c>
    </row>
    <row r="41" spans="1:44">
      <c r="A41" s="1">
        <v>46110.208819444444</v>
      </c>
      <c r="B41">
        <v>1561.06</v>
      </c>
      <c r="C41">
        <v>1303</v>
      </c>
      <c r="D41">
        <v>461</v>
      </c>
      <c r="E41">
        <v>24</v>
      </c>
      <c r="F41">
        <v>267</v>
      </c>
      <c r="G41">
        <v>543</v>
      </c>
      <c r="H41">
        <v>45</v>
      </c>
      <c r="I41">
        <v>28</v>
      </c>
      <c r="J41">
        <v>98</v>
      </c>
      <c r="K41">
        <v>146</v>
      </c>
      <c r="L41">
        <v>8</v>
      </c>
      <c r="M41">
        <v>6</v>
      </c>
      <c r="N41">
        <v>40</v>
      </c>
      <c r="O41">
        <v>11</v>
      </c>
      <c r="P41">
        <v>11</v>
      </c>
      <c r="Q41">
        <v>0</v>
      </c>
      <c r="R41">
        <v>0</v>
      </c>
      <c r="S41">
        <v>6</v>
      </c>
      <c r="T41">
        <v>1</v>
      </c>
      <c r="U41">
        <v>0</v>
      </c>
      <c r="V41">
        <v>0</v>
      </c>
      <c r="W41">
        <v>175</v>
      </c>
      <c r="X41">
        <v>0</v>
      </c>
      <c r="Y41">
        <v>3</v>
      </c>
      <c r="Z41">
        <v>39</v>
      </c>
      <c r="AA41">
        <v>67</v>
      </c>
      <c r="AB41">
        <v>2</v>
      </c>
      <c r="AC41">
        <v>0</v>
      </c>
      <c r="AD41">
        <v>5</v>
      </c>
      <c r="AE41">
        <v>47</v>
      </c>
      <c r="AF41">
        <v>10</v>
      </c>
      <c r="AG41">
        <v>0</v>
      </c>
      <c r="AH41">
        <v>4</v>
      </c>
      <c r="AJ41">
        <f t="shared" si="2"/>
        <v>163</v>
      </c>
      <c r="AK41">
        <f t="shared" si="3"/>
        <v>20</v>
      </c>
      <c r="AL41">
        <f t="shared" si="4"/>
        <v>6</v>
      </c>
      <c r="AM41">
        <f t="shared" si="5"/>
        <v>40</v>
      </c>
      <c r="AO41">
        <f t="shared" si="6"/>
        <v>289</v>
      </c>
      <c r="AP41">
        <f t="shared" si="7"/>
        <v>12</v>
      </c>
      <c r="AQ41">
        <f t="shared" si="8"/>
        <v>3</v>
      </c>
      <c r="AR41">
        <f t="shared" si="9"/>
        <v>48</v>
      </c>
    </row>
    <row r="42" spans="1:44">
      <c r="A42" s="1">
        <v>46110.212037037039</v>
      </c>
      <c r="B42">
        <v>1621.1</v>
      </c>
      <c r="C42">
        <v>1354</v>
      </c>
      <c r="D42">
        <v>472</v>
      </c>
      <c r="E42">
        <v>24</v>
      </c>
      <c r="F42">
        <v>278</v>
      </c>
      <c r="G42">
        <v>560</v>
      </c>
      <c r="H42">
        <v>47</v>
      </c>
      <c r="I42">
        <v>30</v>
      </c>
      <c r="J42">
        <v>102</v>
      </c>
      <c r="K42">
        <v>151</v>
      </c>
      <c r="L42">
        <v>8</v>
      </c>
      <c r="M42">
        <v>7</v>
      </c>
      <c r="N42">
        <v>41</v>
      </c>
      <c r="O42">
        <v>12</v>
      </c>
      <c r="P42">
        <v>11</v>
      </c>
      <c r="Q42">
        <v>0</v>
      </c>
      <c r="R42">
        <v>0</v>
      </c>
      <c r="S42">
        <v>6</v>
      </c>
      <c r="T42">
        <v>1</v>
      </c>
      <c r="U42">
        <v>0</v>
      </c>
      <c r="V42">
        <v>0</v>
      </c>
      <c r="W42">
        <v>179</v>
      </c>
      <c r="X42">
        <v>0</v>
      </c>
      <c r="Y42">
        <v>3</v>
      </c>
      <c r="Z42">
        <v>39</v>
      </c>
      <c r="AA42">
        <v>70</v>
      </c>
      <c r="AB42">
        <v>2</v>
      </c>
      <c r="AC42">
        <v>0</v>
      </c>
      <c r="AD42">
        <v>5</v>
      </c>
      <c r="AE42">
        <v>48</v>
      </c>
      <c r="AF42">
        <v>10</v>
      </c>
      <c r="AG42">
        <v>0</v>
      </c>
      <c r="AH42">
        <v>4</v>
      </c>
      <c r="AJ42">
        <f t="shared" si="2"/>
        <v>169</v>
      </c>
      <c r="AK42">
        <f t="shared" si="3"/>
        <v>20</v>
      </c>
      <c r="AL42">
        <f t="shared" si="4"/>
        <v>7</v>
      </c>
      <c r="AM42">
        <f t="shared" si="5"/>
        <v>41</v>
      </c>
      <c r="AO42">
        <f t="shared" si="6"/>
        <v>297</v>
      </c>
      <c r="AP42">
        <f t="shared" si="7"/>
        <v>12</v>
      </c>
      <c r="AQ42">
        <f t="shared" si="8"/>
        <v>3</v>
      </c>
      <c r="AR42">
        <f t="shared" si="9"/>
        <v>48</v>
      </c>
    </row>
    <row r="43" spans="1:44">
      <c r="A43" s="1">
        <v>46110.215150462966</v>
      </c>
      <c r="B43">
        <v>1681.14</v>
      </c>
      <c r="C43">
        <v>1400</v>
      </c>
      <c r="D43">
        <v>494</v>
      </c>
      <c r="E43">
        <v>24</v>
      </c>
      <c r="F43">
        <v>287</v>
      </c>
      <c r="G43">
        <v>580</v>
      </c>
      <c r="H43">
        <v>50</v>
      </c>
      <c r="I43">
        <v>30</v>
      </c>
      <c r="J43">
        <v>103</v>
      </c>
      <c r="K43">
        <v>153</v>
      </c>
      <c r="L43">
        <v>8</v>
      </c>
      <c r="M43">
        <v>7</v>
      </c>
      <c r="N43">
        <v>42</v>
      </c>
      <c r="O43">
        <v>14</v>
      </c>
      <c r="P43">
        <v>11</v>
      </c>
      <c r="Q43">
        <v>0</v>
      </c>
      <c r="R43">
        <v>0</v>
      </c>
      <c r="S43">
        <v>6</v>
      </c>
      <c r="T43">
        <v>1</v>
      </c>
      <c r="U43">
        <v>0</v>
      </c>
      <c r="V43">
        <v>0</v>
      </c>
      <c r="W43">
        <v>184</v>
      </c>
      <c r="X43">
        <v>0</v>
      </c>
      <c r="Y43">
        <v>3</v>
      </c>
      <c r="Z43">
        <v>39</v>
      </c>
      <c r="AA43">
        <v>72</v>
      </c>
      <c r="AB43">
        <v>2</v>
      </c>
      <c r="AC43">
        <v>0</v>
      </c>
      <c r="AD43">
        <v>6</v>
      </c>
      <c r="AE43">
        <v>52</v>
      </c>
      <c r="AF43">
        <v>10</v>
      </c>
      <c r="AG43">
        <v>0</v>
      </c>
      <c r="AH43">
        <v>4</v>
      </c>
      <c r="AJ43">
        <f t="shared" si="2"/>
        <v>173</v>
      </c>
      <c r="AK43">
        <f t="shared" si="3"/>
        <v>20</v>
      </c>
      <c r="AL43">
        <f t="shared" si="4"/>
        <v>7</v>
      </c>
      <c r="AM43">
        <f t="shared" si="5"/>
        <v>42</v>
      </c>
      <c r="AO43">
        <f t="shared" si="6"/>
        <v>308</v>
      </c>
      <c r="AP43">
        <f t="shared" si="7"/>
        <v>12</v>
      </c>
      <c r="AQ43">
        <f t="shared" si="8"/>
        <v>3</v>
      </c>
      <c r="AR43">
        <f t="shared" si="9"/>
        <v>49</v>
      </c>
    </row>
    <row r="44" spans="1:44">
      <c r="A44" s="1">
        <v>46110.218240740738</v>
      </c>
      <c r="B44">
        <v>1741.18</v>
      </c>
      <c r="C44">
        <v>1446</v>
      </c>
      <c r="D44">
        <v>505</v>
      </c>
      <c r="E44">
        <v>24</v>
      </c>
      <c r="F44">
        <v>301</v>
      </c>
      <c r="G44">
        <v>597</v>
      </c>
      <c r="H44">
        <v>51</v>
      </c>
      <c r="I44">
        <v>31</v>
      </c>
      <c r="J44">
        <v>108</v>
      </c>
      <c r="K44">
        <v>156</v>
      </c>
      <c r="L44">
        <v>8</v>
      </c>
      <c r="M44">
        <v>7</v>
      </c>
      <c r="N44">
        <v>47</v>
      </c>
      <c r="O44">
        <v>15</v>
      </c>
      <c r="P44">
        <v>11</v>
      </c>
      <c r="Q44">
        <v>0</v>
      </c>
      <c r="R44">
        <v>0</v>
      </c>
      <c r="S44">
        <v>7</v>
      </c>
      <c r="T44">
        <v>1</v>
      </c>
      <c r="U44">
        <v>0</v>
      </c>
      <c r="V44">
        <v>0</v>
      </c>
      <c r="W44">
        <v>187</v>
      </c>
      <c r="X44">
        <v>0</v>
      </c>
      <c r="Y44">
        <v>3</v>
      </c>
      <c r="Z44">
        <v>43</v>
      </c>
      <c r="AA44">
        <v>75</v>
      </c>
      <c r="AB44">
        <v>2</v>
      </c>
      <c r="AC44">
        <v>0</v>
      </c>
      <c r="AD44">
        <v>6</v>
      </c>
      <c r="AE44">
        <v>54</v>
      </c>
      <c r="AF44">
        <v>10</v>
      </c>
      <c r="AG44">
        <v>0</v>
      </c>
      <c r="AH44">
        <v>4</v>
      </c>
      <c r="AJ44">
        <f t="shared" si="2"/>
        <v>178</v>
      </c>
      <c r="AK44">
        <f t="shared" si="3"/>
        <v>20</v>
      </c>
      <c r="AL44">
        <f t="shared" si="4"/>
        <v>7</v>
      </c>
      <c r="AM44">
        <f t="shared" si="5"/>
        <v>47</v>
      </c>
      <c r="AO44">
        <f t="shared" si="6"/>
        <v>316</v>
      </c>
      <c r="AP44">
        <f t="shared" si="7"/>
        <v>12</v>
      </c>
      <c r="AQ44">
        <f t="shared" si="8"/>
        <v>3</v>
      </c>
      <c r="AR44">
        <f t="shared" si="9"/>
        <v>53</v>
      </c>
    </row>
    <row r="45" spans="1:44">
      <c r="A45" s="1">
        <v>46110.221087962964</v>
      </c>
      <c r="B45">
        <v>1801.22</v>
      </c>
      <c r="C45">
        <v>1497</v>
      </c>
      <c r="D45">
        <v>516</v>
      </c>
      <c r="E45">
        <v>24</v>
      </c>
      <c r="F45">
        <v>310</v>
      </c>
      <c r="G45">
        <v>617</v>
      </c>
      <c r="H45">
        <v>51</v>
      </c>
      <c r="I45">
        <v>32</v>
      </c>
      <c r="J45">
        <v>117</v>
      </c>
      <c r="K45">
        <v>160</v>
      </c>
      <c r="L45">
        <v>8</v>
      </c>
      <c r="M45">
        <v>7</v>
      </c>
      <c r="N45">
        <v>49</v>
      </c>
      <c r="O45">
        <v>15</v>
      </c>
      <c r="P45">
        <v>11</v>
      </c>
      <c r="Q45">
        <v>0</v>
      </c>
      <c r="R45">
        <v>0</v>
      </c>
      <c r="S45">
        <v>8</v>
      </c>
      <c r="T45">
        <v>1</v>
      </c>
      <c r="U45">
        <v>0</v>
      </c>
      <c r="V45">
        <v>0</v>
      </c>
      <c r="W45">
        <v>190</v>
      </c>
      <c r="X45">
        <v>0</v>
      </c>
      <c r="Y45">
        <v>3</v>
      </c>
      <c r="Z45">
        <v>45</v>
      </c>
      <c r="AA45">
        <v>75</v>
      </c>
      <c r="AB45">
        <v>2</v>
      </c>
      <c r="AC45">
        <v>0</v>
      </c>
      <c r="AD45">
        <v>6</v>
      </c>
      <c r="AE45">
        <v>58</v>
      </c>
      <c r="AF45">
        <v>10</v>
      </c>
      <c r="AG45">
        <v>0</v>
      </c>
      <c r="AH45">
        <v>7</v>
      </c>
      <c r="AJ45">
        <f t="shared" si="2"/>
        <v>183</v>
      </c>
      <c r="AK45">
        <f t="shared" si="3"/>
        <v>20</v>
      </c>
      <c r="AL45">
        <f t="shared" si="4"/>
        <v>7</v>
      </c>
      <c r="AM45">
        <f t="shared" si="5"/>
        <v>49</v>
      </c>
      <c r="AO45">
        <f t="shared" si="6"/>
        <v>323</v>
      </c>
      <c r="AP45">
        <f t="shared" si="7"/>
        <v>12</v>
      </c>
      <c r="AQ45">
        <f t="shared" si="8"/>
        <v>3</v>
      </c>
      <c r="AR45">
        <f t="shared" si="9"/>
        <v>58</v>
      </c>
    </row>
    <row r="46" spans="1:44">
      <c r="A46" s="1">
        <v>46110.223668981482</v>
      </c>
      <c r="B46">
        <v>1861.26</v>
      </c>
      <c r="C46">
        <v>1553</v>
      </c>
      <c r="D46">
        <v>526</v>
      </c>
      <c r="E46">
        <v>24</v>
      </c>
      <c r="F46">
        <v>322</v>
      </c>
      <c r="G46">
        <v>636</v>
      </c>
      <c r="H46">
        <v>52</v>
      </c>
      <c r="I46">
        <v>34</v>
      </c>
      <c r="J46">
        <v>122</v>
      </c>
      <c r="K46">
        <v>165</v>
      </c>
      <c r="L46">
        <v>8</v>
      </c>
      <c r="M46">
        <v>7</v>
      </c>
      <c r="N46">
        <v>54</v>
      </c>
      <c r="O46">
        <v>17</v>
      </c>
      <c r="P46">
        <v>11</v>
      </c>
      <c r="Q46">
        <v>0</v>
      </c>
      <c r="R46">
        <v>0</v>
      </c>
      <c r="S46">
        <v>8</v>
      </c>
      <c r="T46">
        <v>1</v>
      </c>
      <c r="U46">
        <v>0</v>
      </c>
      <c r="V46">
        <v>0</v>
      </c>
      <c r="W46">
        <v>194</v>
      </c>
      <c r="X46">
        <v>0</v>
      </c>
      <c r="Y46">
        <v>3</v>
      </c>
      <c r="Z46">
        <v>49</v>
      </c>
      <c r="AA46">
        <v>80</v>
      </c>
      <c r="AB46">
        <v>2</v>
      </c>
      <c r="AC46">
        <v>0</v>
      </c>
      <c r="AD46">
        <v>6</v>
      </c>
      <c r="AE46">
        <v>61</v>
      </c>
      <c r="AF46">
        <v>10</v>
      </c>
      <c r="AG46">
        <v>0</v>
      </c>
      <c r="AH46">
        <v>7</v>
      </c>
      <c r="AJ46">
        <f t="shared" si="2"/>
        <v>190</v>
      </c>
      <c r="AK46">
        <f t="shared" si="3"/>
        <v>20</v>
      </c>
      <c r="AL46">
        <f t="shared" si="4"/>
        <v>7</v>
      </c>
      <c r="AM46">
        <f t="shared" si="5"/>
        <v>54</v>
      </c>
      <c r="AO46">
        <f t="shared" si="6"/>
        <v>335</v>
      </c>
      <c r="AP46">
        <f t="shared" si="7"/>
        <v>12</v>
      </c>
      <c r="AQ46">
        <f t="shared" si="8"/>
        <v>3</v>
      </c>
      <c r="AR46">
        <f t="shared" si="9"/>
        <v>62</v>
      </c>
    </row>
    <row r="47" spans="1:44">
      <c r="A47" s="1">
        <v>46110.226319444446</v>
      </c>
      <c r="B47">
        <v>1921.05</v>
      </c>
      <c r="C47">
        <v>1599</v>
      </c>
      <c r="D47">
        <v>547</v>
      </c>
      <c r="E47">
        <v>24</v>
      </c>
      <c r="F47">
        <v>335</v>
      </c>
      <c r="G47">
        <v>651</v>
      </c>
      <c r="H47">
        <v>52</v>
      </c>
      <c r="I47">
        <v>34</v>
      </c>
      <c r="J47">
        <v>129</v>
      </c>
      <c r="K47">
        <v>167</v>
      </c>
      <c r="L47">
        <v>8</v>
      </c>
      <c r="M47">
        <v>7</v>
      </c>
      <c r="N47">
        <v>56</v>
      </c>
      <c r="O47">
        <v>17</v>
      </c>
      <c r="P47">
        <v>11</v>
      </c>
      <c r="Q47">
        <v>0</v>
      </c>
      <c r="R47">
        <v>0</v>
      </c>
      <c r="S47">
        <v>9</v>
      </c>
      <c r="T47">
        <v>3</v>
      </c>
      <c r="U47">
        <v>0</v>
      </c>
      <c r="V47">
        <v>0</v>
      </c>
      <c r="W47">
        <v>199</v>
      </c>
      <c r="X47">
        <v>0</v>
      </c>
      <c r="Y47">
        <v>3</v>
      </c>
      <c r="Z47">
        <v>50</v>
      </c>
      <c r="AA47">
        <v>84</v>
      </c>
      <c r="AB47">
        <v>2</v>
      </c>
      <c r="AC47">
        <v>0</v>
      </c>
      <c r="AD47">
        <v>7</v>
      </c>
      <c r="AE47">
        <v>62</v>
      </c>
      <c r="AF47">
        <v>11</v>
      </c>
      <c r="AG47">
        <v>0</v>
      </c>
      <c r="AH47">
        <v>8</v>
      </c>
      <c r="AJ47">
        <f t="shared" si="2"/>
        <v>193</v>
      </c>
      <c r="AK47">
        <f t="shared" si="3"/>
        <v>22</v>
      </c>
      <c r="AL47">
        <f t="shared" si="4"/>
        <v>7</v>
      </c>
      <c r="AM47">
        <f t="shared" si="5"/>
        <v>56</v>
      </c>
      <c r="AO47">
        <f t="shared" si="6"/>
        <v>345</v>
      </c>
      <c r="AP47">
        <f t="shared" si="7"/>
        <v>13</v>
      </c>
      <c r="AQ47">
        <f t="shared" si="8"/>
        <v>3</v>
      </c>
      <c r="AR47">
        <f t="shared" si="9"/>
        <v>65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58F38-7D71-4E88-BE85-5D52EC92DBB8}">
  <dimension ref="A1:AW46"/>
  <sheetViews>
    <sheetView workbookViewId="0">
      <selection activeCell="AV4" sqref="AV4"/>
    </sheetView>
  </sheetViews>
  <sheetFormatPr defaultRowHeight="15"/>
  <sheetData>
    <row r="1" spans="1:49">
      <c r="A1" t="s">
        <v>51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 spans="1:49">
      <c r="A2" s="1">
        <v>46109.831944444442</v>
      </c>
      <c r="B2">
        <v>60.04</v>
      </c>
      <c r="C2">
        <v>51</v>
      </c>
      <c r="D2">
        <v>16</v>
      </c>
      <c r="E2">
        <v>0</v>
      </c>
      <c r="F2">
        <v>11</v>
      </c>
      <c r="G2">
        <v>21</v>
      </c>
      <c r="H2">
        <v>1</v>
      </c>
      <c r="I2">
        <v>2</v>
      </c>
      <c r="J2">
        <v>4</v>
      </c>
      <c r="L2" s="2">
        <v>11</v>
      </c>
      <c r="M2">
        <v>1</v>
      </c>
      <c r="N2">
        <v>0</v>
      </c>
      <c r="O2">
        <v>0</v>
      </c>
      <c r="Q2">
        <v>10</v>
      </c>
      <c r="R2">
        <v>0</v>
      </c>
      <c r="S2">
        <v>0</v>
      </c>
      <c r="T2">
        <v>1</v>
      </c>
      <c r="V2">
        <f>C2-L2+Q2</f>
        <v>50</v>
      </c>
      <c r="W2">
        <f t="shared" ref="W2:Y2" si="0">D2-M2+R2</f>
        <v>15</v>
      </c>
      <c r="X2">
        <f t="shared" si="0"/>
        <v>0</v>
      </c>
      <c r="Y2">
        <f t="shared" si="0"/>
        <v>12</v>
      </c>
      <c r="AA2">
        <f>G2+L2-Q2</f>
        <v>22</v>
      </c>
      <c r="AB2">
        <f t="shared" ref="AB2:AD2" si="1">H2+M2-R2</f>
        <v>2</v>
      </c>
      <c r="AC2">
        <f t="shared" si="1"/>
        <v>2</v>
      </c>
      <c r="AD2">
        <f t="shared" si="1"/>
        <v>3</v>
      </c>
      <c r="AF2">
        <f>V2-V1</f>
        <v>50</v>
      </c>
      <c r="AG2">
        <f t="shared" ref="AG2:AN2" si="2">W2-W1</f>
        <v>15</v>
      </c>
      <c r="AH2">
        <f t="shared" si="2"/>
        <v>0</v>
      </c>
      <c r="AI2">
        <f t="shared" si="2"/>
        <v>12</v>
      </c>
      <c r="AK2">
        <f t="shared" si="2"/>
        <v>22</v>
      </c>
      <c r="AL2">
        <f t="shared" si="2"/>
        <v>2</v>
      </c>
      <c r="AM2">
        <f t="shared" si="2"/>
        <v>2</v>
      </c>
      <c r="AN2">
        <f t="shared" si="2"/>
        <v>3</v>
      </c>
      <c r="AP2">
        <f>AF2+AH2+AI2</f>
        <v>62</v>
      </c>
      <c r="AQ2">
        <f>AK2+AM2+AN2</f>
        <v>27</v>
      </c>
      <c r="AS2">
        <f>C2+E2+F2</f>
        <v>62</v>
      </c>
      <c r="AT2">
        <f>G2+I2+J2</f>
        <v>27</v>
      </c>
      <c r="AV2">
        <f>AP2-AS2</f>
        <v>0</v>
      </c>
      <c r="AW2">
        <f>AQ2-AT2</f>
        <v>0</v>
      </c>
    </row>
    <row r="3" spans="1:49">
      <c r="A3" s="1">
        <v>46109.835416666669</v>
      </c>
      <c r="B3">
        <v>120.08</v>
      </c>
      <c r="C3">
        <v>100</v>
      </c>
      <c r="D3">
        <v>38</v>
      </c>
      <c r="E3">
        <v>3</v>
      </c>
      <c r="F3">
        <v>20</v>
      </c>
      <c r="G3">
        <v>46</v>
      </c>
      <c r="H3">
        <v>3</v>
      </c>
      <c r="I3">
        <v>3</v>
      </c>
      <c r="J3">
        <v>11</v>
      </c>
      <c r="L3">
        <v>15</v>
      </c>
      <c r="M3">
        <v>2</v>
      </c>
      <c r="N3">
        <v>1</v>
      </c>
      <c r="O3">
        <v>0</v>
      </c>
      <c r="Q3">
        <v>19</v>
      </c>
      <c r="R3">
        <v>1</v>
      </c>
      <c r="S3">
        <v>0</v>
      </c>
      <c r="T3">
        <v>8</v>
      </c>
      <c r="V3">
        <f t="shared" ref="V3:V14" si="3">C3+L3-Q3</f>
        <v>96</v>
      </c>
      <c r="W3">
        <f t="shared" ref="W3:W14" si="4">D3+M3-R3</f>
        <v>39</v>
      </c>
      <c r="X3">
        <f t="shared" ref="X3:X14" si="5">E3+N3-S3</f>
        <v>4</v>
      </c>
      <c r="Y3">
        <f t="shared" ref="Y3:Y14" si="6">F3+O3-T3</f>
        <v>12</v>
      </c>
      <c r="AA3">
        <f t="shared" ref="AA3:AA14" si="7">G3-L3+Q3</f>
        <v>50</v>
      </c>
      <c r="AB3">
        <f t="shared" ref="AB3:AB14" si="8">H3-M3+R3</f>
        <v>2</v>
      </c>
      <c r="AC3">
        <f t="shared" ref="AC3:AC14" si="9">I3-N3+S3</f>
        <v>2</v>
      </c>
      <c r="AD3">
        <f t="shared" ref="AD3:AD14" si="10">J3-O3+T3</f>
        <v>19</v>
      </c>
      <c r="AF3">
        <f t="shared" ref="AF3:AF12" si="11">V3-V2</f>
        <v>46</v>
      </c>
      <c r="AG3">
        <f t="shared" ref="AG3:AG12" si="12">W3-W2</f>
        <v>24</v>
      </c>
      <c r="AH3">
        <f t="shared" ref="AH3:AH12" si="13">X3-X2</f>
        <v>4</v>
      </c>
      <c r="AI3">
        <f t="shared" ref="AI3:AI12" si="14">Y3-Y2</f>
        <v>0</v>
      </c>
      <c r="AK3">
        <f t="shared" ref="AK3:AK12" si="15">AA3-AA2</f>
        <v>28</v>
      </c>
      <c r="AL3">
        <f t="shared" ref="AL3:AL12" si="16">AB3-AB2</f>
        <v>0</v>
      </c>
      <c r="AM3">
        <f t="shared" ref="AM3:AM12" si="17">AC3-AC2</f>
        <v>0</v>
      </c>
      <c r="AN3">
        <f t="shared" ref="AN3:AN12" si="18">AD3-AD2</f>
        <v>16</v>
      </c>
      <c r="AP3">
        <f t="shared" ref="AP3:AP46" si="19">AF3+AH3+AI3</f>
        <v>50</v>
      </c>
      <c r="AQ3">
        <f t="shared" ref="AQ3:AQ46" si="20">AK3+AM3+AN3</f>
        <v>44</v>
      </c>
      <c r="AS3">
        <f>C3+E3+F3-C2-E2-F2</f>
        <v>61</v>
      </c>
      <c r="AT3">
        <f>G3+I3+J3-G2-I2-J2</f>
        <v>33</v>
      </c>
      <c r="AV3">
        <f t="shared" ref="AV3:AV46" si="21">AP3-AS3</f>
        <v>-11</v>
      </c>
      <c r="AW3">
        <f t="shared" ref="AW3:AW46" si="22">AQ3-AT3</f>
        <v>11</v>
      </c>
    </row>
    <row r="4" spans="1:49">
      <c r="A4" s="1">
        <v>46109.838194444441</v>
      </c>
      <c r="B4">
        <v>180.12</v>
      </c>
      <c r="C4">
        <v>151</v>
      </c>
      <c r="D4">
        <v>61</v>
      </c>
      <c r="E4">
        <v>4</v>
      </c>
      <c r="F4">
        <v>25</v>
      </c>
      <c r="G4">
        <v>70</v>
      </c>
      <c r="H4">
        <v>5</v>
      </c>
      <c r="I4">
        <v>4</v>
      </c>
      <c r="J4">
        <v>11</v>
      </c>
      <c r="L4">
        <v>20</v>
      </c>
      <c r="M4">
        <v>4</v>
      </c>
      <c r="N4">
        <v>1</v>
      </c>
      <c r="O4">
        <v>0</v>
      </c>
      <c r="Q4">
        <v>33</v>
      </c>
      <c r="R4">
        <v>4</v>
      </c>
      <c r="S4">
        <v>0</v>
      </c>
      <c r="T4">
        <v>8</v>
      </c>
      <c r="V4">
        <f t="shared" si="3"/>
        <v>138</v>
      </c>
      <c r="W4">
        <f t="shared" si="4"/>
        <v>61</v>
      </c>
      <c r="X4">
        <f t="shared" si="5"/>
        <v>5</v>
      </c>
      <c r="Y4">
        <f t="shared" si="6"/>
        <v>17</v>
      </c>
      <c r="AA4">
        <f t="shared" si="7"/>
        <v>83</v>
      </c>
      <c r="AB4">
        <f t="shared" si="8"/>
        <v>5</v>
      </c>
      <c r="AC4">
        <f t="shared" si="9"/>
        <v>3</v>
      </c>
      <c r="AD4">
        <f t="shared" si="10"/>
        <v>19</v>
      </c>
      <c r="AF4">
        <f t="shared" si="11"/>
        <v>42</v>
      </c>
      <c r="AG4">
        <f t="shared" si="12"/>
        <v>22</v>
      </c>
      <c r="AH4">
        <f t="shared" si="13"/>
        <v>1</v>
      </c>
      <c r="AI4">
        <f t="shared" si="14"/>
        <v>5</v>
      </c>
      <c r="AK4">
        <f t="shared" si="15"/>
        <v>33</v>
      </c>
      <c r="AL4">
        <f t="shared" si="16"/>
        <v>3</v>
      </c>
      <c r="AM4">
        <f t="shared" si="17"/>
        <v>1</v>
      </c>
      <c r="AN4">
        <f t="shared" si="18"/>
        <v>0</v>
      </c>
      <c r="AP4">
        <f t="shared" si="19"/>
        <v>48</v>
      </c>
      <c r="AQ4">
        <f t="shared" si="20"/>
        <v>34</v>
      </c>
      <c r="AS4">
        <f t="shared" ref="AS4:AS46" si="23">C4+E4+F4-C3-E3-F3</f>
        <v>57</v>
      </c>
      <c r="AT4">
        <f t="shared" ref="AT4:AT46" si="24">G4+I4+J4-G3-I3-J3</f>
        <v>25</v>
      </c>
      <c r="AV4">
        <f t="shared" si="21"/>
        <v>-9</v>
      </c>
      <c r="AW4">
        <f t="shared" si="22"/>
        <v>9</v>
      </c>
    </row>
    <row r="5" spans="1:49">
      <c r="A5" s="1">
        <v>46109.84097222222</v>
      </c>
      <c r="B5">
        <v>240.16</v>
      </c>
      <c r="C5">
        <v>207</v>
      </c>
      <c r="D5">
        <v>94</v>
      </c>
      <c r="E5">
        <v>5</v>
      </c>
      <c r="F5">
        <v>32</v>
      </c>
      <c r="G5">
        <v>96</v>
      </c>
      <c r="H5">
        <v>9</v>
      </c>
      <c r="I5">
        <v>4</v>
      </c>
      <c r="J5">
        <v>11</v>
      </c>
      <c r="L5">
        <v>27</v>
      </c>
      <c r="M5">
        <v>4</v>
      </c>
      <c r="N5">
        <v>2</v>
      </c>
      <c r="O5">
        <v>1</v>
      </c>
      <c r="Q5">
        <v>44</v>
      </c>
      <c r="R5">
        <v>4</v>
      </c>
      <c r="S5">
        <v>0</v>
      </c>
      <c r="T5">
        <v>8</v>
      </c>
      <c r="V5">
        <f t="shared" si="3"/>
        <v>190</v>
      </c>
      <c r="W5">
        <f t="shared" si="4"/>
        <v>94</v>
      </c>
      <c r="X5">
        <f t="shared" si="5"/>
        <v>7</v>
      </c>
      <c r="Y5">
        <f t="shared" si="6"/>
        <v>25</v>
      </c>
      <c r="AA5">
        <f t="shared" si="7"/>
        <v>113</v>
      </c>
      <c r="AB5">
        <f t="shared" si="8"/>
        <v>9</v>
      </c>
      <c r="AC5">
        <f t="shared" si="9"/>
        <v>2</v>
      </c>
      <c r="AD5">
        <f t="shared" si="10"/>
        <v>18</v>
      </c>
      <c r="AF5">
        <f t="shared" si="11"/>
        <v>52</v>
      </c>
      <c r="AG5">
        <f t="shared" si="12"/>
        <v>33</v>
      </c>
      <c r="AH5">
        <f t="shared" si="13"/>
        <v>2</v>
      </c>
      <c r="AI5">
        <f t="shared" si="14"/>
        <v>8</v>
      </c>
      <c r="AK5">
        <f t="shared" si="15"/>
        <v>30</v>
      </c>
      <c r="AL5">
        <f t="shared" si="16"/>
        <v>4</v>
      </c>
      <c r="AM5">
        <f t="shared" si="17"/>
        <v>-1</v>
      </c>
      <c r="AN5">
        <f t="shared" si="18"/>
        <v>-1</v>
      </c>
      <c r="AP5">
        <f t="shared" si="19"/>
        <v>62</v>
      </c>
      <c r="AQ5">
        <f t="shared" si="20"/>
        <v>28</v>
      </c>
      <c r="AS5">
        <f t="shared" si="23"/>
        <v>64</v>
      </c>
      <c r="AT5">
        <f t="shared" si="24"/>
        <v>26</v>
      </c>
      <c r="AV5">
        <f t="shared" si="21"/>
        <v>-2</v>
      </c>
      <c r="AW5">
        <f t="shared" si="22"/>
        <v>2</v>
      </c>
    </row>
    <row r="6" spans="1:49">
      <c r="A6" s="1">
        <v>46109.845138888886</v>
      </c>
      <c r="B6">
        <v>300.2</v>
      </c>
      <c r="C6">
        <v>248</v>
      </c>
      <c r="D6">
        <v>114</v>
      </c>
      <c r="E6">
        <v>5</v>
      </c>
      <c r="F6">
        <v>40</v>
      </c>
      <c r="G6">
        <v>113</v>
      </c>
      <c r="H6">
        <v>9</v>
      </c>
      <c r="I6">
        <v>4</v>
      </c>
      <c r="J6">
        <v>15</v>
      </c>
      <c r="L6">
        <v>31</v>
      </c>
      <c r="M6">
        <v>4</v>
      </c>
      <c r="N6">
        <v>2</v>
      </c>
      <c r="O6">
        <v>5</v>
      </c>
      <c r="Q6">
        <v>54</v>
      </c>
      <c r="R6">
        <v>4</v>
      </c>
      <c r="S6">
        <v>1</v>
      </c>
      <c r="T6">
        <v>11</v>
      </c>
      <c r="V6">
        <f t="shared" si="3"/>
        <v>225</v>
      </c>
      <c r="W6">
        <f t="shared" si="4"/>
        <v>114</v>
      </c>
      <c r="X6">
        <f t="shared" si="5"/>
        <v>6</v>
      </c>
      <c r="Y6">
        <f t="shared" si="6"/>
        <v>34</v>
      </c>
      <c r="AA6">
        <f t="shared" si="7"/>
        <v>136</v>
      </c>
      <c r="AB6">
        <f t="shared" si="8"/>
        <v>9</v>
      </c>
      <c r="AC6">
        <f t="shared" si="9"/>
        <v>3</v>
      </c>
      <c r="AD6">
        <f t="shared" si="10"/>
        <v>21</v>
      </c>
      <c r="AF6">
        <f t="shared" si="11"/>
        <v>35</v>
      </c>
      <c r="AG6">
        <f t="shared" si="12"/>
        <v>20</v>
      </c>
      <c r="AH6">
        <f t="shared" si="13"/>
        <v>-1</v>
      </c>
      <c r="AI6">
        <f t="shared" si="14"/>
        <v>9</v>
      </c>
      <c r="AK6">
        <f t="shared" si="15"/>
        <v>23</v>
      </c>
      <c r="AL6">
        <f t="shared" si="16"/>
        <v>0</v>
      </c>
      <c r="AM6">
        <f t="shared" si="17"/>
        <v>1</v>
      </c>
      <c r="AN6">
        <f t="shared" si="18"/>
        <v>3</v>
      </c>
      <c r="AP6">
        <f t="shared" si="19"/>
        <v>43</v>
      </c>
      <c r="AQ6">
        <f t="shared" si="20"/>
        <v>27</v>
      </c>
      <c r="AS6">
        <f t="shared" si="23"/>
        <v>49</v>
      </c>
      <c r="AT6">
        <f t="shared" si="24"/>
        <v>21</v>
      </c>
      <c r="AV6">
        <f t="shared" si="21"/>
        <v>-6</v>
      </c>
      <c r="AW6">
        <f t="shared" si="22"/>
        <v>6</v>
      </c>
    </row>
    <row r="7" spans="1:49">
      <c r="A7" s="1">
        <v>46109.849305555559</v>
      </c>
      <c r="B7">
        <v>360.24</v>
      </c>
      <c r="C7">
        <v>304</v>
      </c>
      <c r="D7">
        <v>134</v>
      </c>
      <c r="E7">
        <v>6</v>
      </c>
      <c r="F7">
        <v>48</v>
      </c>
      <c r="G7">
        <v>140</v>
      </c>
      <c r="H7">
        <v>9</v>
      </c>
      <c r="I7">
        <v>5</v>
      </c>
      <c r="J7">
        <v>17</v>
      </c>
      <c r="L7">
        <v>39</v>
      </c>
      <c r="M7">
        <v>5</v>
      </c>
      <c r="N7">
        <v>2</v>
      </c>
      <c r="O7">
        <v>5</v>
      </c>
      <c r="Q7">
        <v>66</v>
      </c>
      <c r="R7">
        <v>4</v>
      </c>
      <c r="S7">
        <v>2</v>
      </c>
      <c r="T7">
        <v>12</v>
      </c>
      <c r="V7">
        <f t="shared" si="3"/>
        <v>277</v>
      </c>
      <c r="W7">
        <f t="shared" si="4"/>
        <v>135</v>
      </c>
      <c r="X7">
        <f t="shared" si="5"/>
        <v>6</v>
      </c>
      <c r="Y7">
        <f t="shared" si="6"/>
        <v>41</v>
      </c>
      <c r="AA7">
        <f t="shared" si="7"/>
        <v>167</v>
      </c>
      <c r="AB7">
        <f t="shared" si="8"/>
        <v>8</v>
      </c>
      <c r="AC7">
        <f t="shared" si="9"/>
        <v>5</v>
      </c>
      <c r="AD7">
        <f t="shared" si="10"/>
        <v>24</v>
      </c>
      <c r="AF7">
        <f t="shared" si="11"/>
        <v>52</v>
      </c>
      <c r="AG7">
        <f t="shared" si="12"/>
        <v>21</v>
      </c>
      <c r="AH7">
        <f t="shared" si="13"/>
        <v>0</v>
      </c>
      <c r="AI7">
        <f t="shared" si="14"/>
        <v>7</v>
      </c>
      <c r="AK7">
        <f t="shared" si="15"/>
        <v>31</v>
      </c>
      <c r="AL7">
        <f t="shared" si="16"/>
        <v>-1</v>
      </c>
      <c r="AM7">
        <f t="shared" si="17"/>
        <v>2</v>
      </c>
      <c r="AN7">
        <f t="shared" si="18"/>
        <v>3</v>
      </c>
      <c r="AP7">
        <f t="shared" si="19"/>
        <v>59</v>
      </c>
      <c r="AQ7">
        <f t="shared" si="20"/>
        <v>36</v>
      </c>
      <c r="AS7">
        <f t="shared" si="23"/>
        <v>65</v>
      </c>
      <c r="AT7">
        <f t="shared" si="24"/>
        <v>30</v>
      </c>
      <c r="AV7">
        <f t="shared" si="21"/>
        <v>-6</v>
      </c>
      <c r="AW7">
        <f t="shared" si="22"/>
        <v>6</v>
      </c>
    </row>
    <row r="8" spans="1:49">
      <c r="A8" s="1">
        <v>46109.852777777778</v>
      </c>
      <c r="B8">
        <v>420.28</v>
      </c>
      <c r="C8">
        <v>363</v>
      </c>
      <c r="D8">
        <v>164</v>
      </c>
      <c r="E8">
        <v>7</v>
      </c>
      <c r="F8">
        <v>58</v>
      </c>
      <c r="G8">
        <v>162</v>
      </c>
      <c r="H8">
        <v>12</v>
      </c>
      <c r="I8">
        <v>6</v>
      </c>
      <c r="J8">
        <v>22</v>
      </c>
      <c r="L8">
        <v>48</v>
      </c>
      <c r="M8">
        <v>9</v>
      </c>
      <c r="N8">
        <v>2</v>
      </c>
      <c r="O8">
        <v>9</v>
      </c>
      <c r="Q8">
        <v>74</v>
      </c>
      <c r="R8">
        <v>4</v>
      </c>
      <c r="S8">
        <v>2</v>
      </c>
      <c r="T8">
        <v>14</v>
      </c>
      <c r="V8">
        <f t="shared" si="3"/>
        <v>337</v>
      </c>
      <c r="W8">
        <f t="shared" si="4"/>
        <v>169</v>
      </c>
      <c r="X8">
        <f t="shared" si="5"/>
        <v>7</v>
      </c>
      <c r="Y8">
        <f t="shared" si="6"/>
        <v>53</v>
      </c>
      <c r="AA8">
        <f t="shared" si="7"/>
        <v>188</v>
      </c>
      <c r="AB8">
        <f t="shared" si="8"/>
        <v>7</v>
      </c>
      <c r="AC8">
        <f t="shared" si="9"/>
        <v>6</v>
      </c>
      <c r="AD8">
        <f t="shared" si="10"/>
        <v>27</v>
      </c>
      <c r="AF8">
        <f t="shared" si="11"/>
        <v>60</v>
      </c>
      <c r="AG8">
        <f t="shared" si="12"/>
        <v>34</v>
      </c>
      <c r="AH8">
        <f t="shared" si="13"/>
        <v>1</v>
      </c>
      <c r="AI8">
        <f t="shared" si="14"/>
        <v>12</v>
      </c>
      <c r="AK8">
        <f t="shared" si="15"/>
        <v>21</v>
      </c>
      <c r="AL8">
        <f t="shared" si="16"/>
        <v>-1</v>
      </c>
      <c r="AM8">
        <f t="shared" si="17"/>
        <v>1</v>
      </c>
      <c r="AN8">
        <f t="shared" si="18"/>
        <v>3</v>
      </c>
      <c r="AP8">
        <f t="shared" si="19"/>
        <v>73</v>
      </c>
      <c r="AQ8">
        <f t="shared" si="20"/>
        <v>25</v>
      </c>
      <c r="AS8">
        <f t="shared" si="23"/>
        <v>70</v>
      </c>
      <c r="AT8">
        <f t="shared" si="24"/>
        <v>28</v>
      </c>
      <c r="AV8">
        <f t="shared" si="21"/>
        <v>3</v>
      </c>
      <c r="AW8">
        <f t="shared" si="22"/>
        <v>-3</v>
      </c>
    </row>
    <row r="9" spans="1:49">
      <c r="A9" s="1">
        <v>46109.856249999997</v>
      </c>
      <c r="B9">
        <v>480.33</v>
      </c>
      <c r="C9">
        <v>410</v>
      </c>
      <c r="D9">
        <v>184</v>
      </c>
      <c r="E9">
        <v>7</v>
      </c>
      <c r="F9">
        <v>65</v>
      </c>
      <c r="G9">
        <v>183</v>
      </c>
      <c r="H9">
        <v>16</v>
      </c>
      <c r="I9">
        <v>6</v>
      </c>
      <c r="J9">
        <v>25</v>
      </c>
      <c r="L9">
        <v>51</v>
      </c>
      <c r="M9">
        <v>9</v>
      </c>
      <c r="N9">
        <v>2</v>
      </c>
      <c r="O9">
        <v>10</v>
      </c>
      <c r="Q9">
        <v>83</v>
      </c>
      <c r="R9">
        <v>6</v>
      </c>
      <c r="S9">
        <v>2</v>
      </c>
      <c r="T9">
        <v>15</v>
      </c>
      <c r="V9">
        <f t="shared" si="3"/>
        <v>378</v>
      </c>
      <c r="W9">
        <f t="shared" si="4"/>
        <v>187</v>
      </c>
      <c r="X9">
        <f t="shared" si="5"/>
        <v>7</v>
      </c>
      <c r="Y9">
        <f t="shared" si="6"/>
        <v>60</v>
      </c>
      <c r="AA9">
        <f t="shared" si="7"/>
        <v>215</v>
      </c>
      <c r="AB9">
        <f t="shared" si="8"/>
        <v>13</v>
      </c>
      <c r="AC9">
        <f t="shared" si="9"/>
        <v>6</v>
      </c>
      <c r="AD9">
        <f t="shared" si="10"/>
        <v>30</v>
      </c>
      <c r="AF9">
        <f t="shared" si="11"/>
        <v>41</v>
      </c>
      <c r="AG9">
        <f t="shared" si="12"/>
        <v>18</v>
      </c>
      <c r="AH9">
        <f t="shared" si="13"/>
        <v>0</v>
      </c>
      <c r="AI9">
        <f t="shared" si="14"/>
        <v>7</v>
      </c>
      <c r="AK9">
        <f t="shared" si="15"/>
        <v>27</v>
      </c>
      <c r="AL9">
        <f t="shared" si="16"/>
        <v>6</v>
      </c>
      <c r="AM9">
        <f t="shared" si="17"/>
        <v>0</v>
      </c>
      <c r="AN9">
        <f t="shared" si="18"/>
        <v>3</v>
      </c>
      <c r="AP9">
        <f t="shared" si="19"/>
        <v>48</v>
      </c>
      <c r="AQ9">
        <f t="shared" si="20"/>
        <v>30</v>
      </c>
      <c r="AS9">
        <f t="shared" si="23"/>
        <v>54</v>
      </c>
      <c r="AT9">
        <f t="shared" si="24"/>
        <v>24</v>
      </c>
      <c r="AV9">
        <f t="shared" si="21"/>
        <v>-6</v>
      </c>
      <c r="AW9">
        <f t="shared" si="22"/>
        <v>6</v>
      </c>
    </row>
    <row r="10" spans="1:49">
      <c r="A10" s="1">
        <v>46109.859027777777</v>
      </c>
      <c r="B10">
        <v>540.37</v>
      </c>
      <c r="C10">
        <v>460</v>
      </c>
      <c r="D10">
        <v>212</v>
      </c>
      <c r="E10">
        <v>7</v>
      </c>
      <c r="F10">
        <v>75</v>
      </c>
      <c r="G10">
        <v>204</v>
      </c>
      <c r="H10">
        <v>16</v>
      </c>
      <c r="I10">
        <v>6</v>
      </c>
      <c r="J10">
        <v>28</v>
      </c>
      <c r="L10">
        <v>57</v>
      </c>
      <c r="M10">
        <v>9</v>
      </c>
      <c r="N10">
        <v>2</v>
      </c>
      <c r="O10">
        <v>10</v>
      </c>
      <c r="Q10">
        <v>99</v>
      </c>
      <c r="R10">
        <v>6</v>
      </c>
      <c r="S10">
        <v>2</v>
      </c>
      <c r="T10">
        <v>15</v>
      </c>
      <c r="V10">
        <f t="shared" si="3"/>
        <v>418</v>
      </c>
      <c r="W10">
        <f t="shared" si="4"/>
        <v>215</v>
      </c>
      <c r="X10">
        <f t="shared" si="5"/>
        <v>7</v>
      </c>
      <c r="Y10">
        <f t="shared" si="6"/>
        <v>70</v>
      </c>
      <c r="AA10">
        <f t="shared" si="7"/>
        <v>246</v>
      </c>
      <c r="AB10">
        <f t="shared" si="8"/>
        <v>13</v>
      </c>
      <c r="AC10">
        <f t="shared" si="9"/>
        <v>6</v>
      </c>
      <c r="AD10">
        <f t="shared" si="10"/>
        <v>33</v>
      </c>
      <c r="AF10">
        <f t="shared" si="11"/>
        <v>40</v>
      </c>
      <c r="AG10">
        <f t="shared" si="12"/>
        <v>28</v>
      </c>
      <c r="AH10">
        <f t="shared" si="13"/>
        <v>0</v>
      </c>
      <c r="AI10">
        <f t="shared" si="14"/>
        <v>10</v>
      </c>
      <c r="AK10">
        <f t="shared" si="15"/>
        <v>31</v>
      </c>
      <c r="AL10">
        <f t="shared" si="16"/>
        <v>0</v>
      </c>
      <c r="AM10">
        <f t="shared" si="17"/>
        <v>0</v>
      </c>
      <c r="AN10">
        <f t="shared" si="18"/>
        <v>3</v>
      </c>
      <c r="AP10">
        <f t="shared" si="19"/>
        <v>50</v>
      </c>
      <c r="AQ10">
        <f t="shared" si="20"/>
        <v>34</v>
      </c>
      <c r="AS10">
        <f t="shared" si="23"/>
        <v>60</v>
      </c>
      <c r="AT10">
        <f t="shared" si="24"/>
        <v>24</v>
      </c>
      <c r="AV10">
        <f t="shared" si="21"/>
        <v>-10</v>
      </c>
      <c r="AW10">
        <f t="shared" si="22"/>
        <v>10</v>
      </c>
    </row>
    <row r="11" spans="1:49">
      <c r="A11" s="1">
        <v>46109.861805555556</v>
      </c>
      <c r="B11">
        <v>600.41</v>
      </c>
      <c r="C11">
        <v>510</v>
      </c>
      <c r="D11">
        <v>228</v>
      </c>
      <c r="E11">
        <v>7</v>
      </c>
      <c r="F11">
        <v>85</v>
      </c>
      <c r="G11">
        <v>227</v>
      </c>
      <c r="H11">
        <v>18</v>
      </c>
      <c r="I11">
        <v>7</v>
      </c>
      <c r="J11">
        <v>30</v>
      </c>
      <c r="L11">
        <v>60</v>
      </c>
      <c r="M11">
        <v>10</v>
      </c>
      <c r="N11">
        <v>2</v>
      </c>
      <c r="O11">
        <v>10</v>
      </c>
      <c r="Q11">
        <v>110</v>
      </c>
      <c r="R11">
        <v>6</v>
      </c>
      <c r="S11">
        <v>2</v>
      </c>
      <c r="T11">
        <v>15</v>
      </c>
      <c r="V11">
        <f t="shared" si="3"/>
        <v>460</v>
      </c>
      <c r="W11">
        <f t="shared" si="4"/>
        <v>232</v>
      </c>
      <c r="X11">
        <f t="shared" si="5"/>
        <v>7</v>
      </c>
      <c r="Y11">
        <f t="shared" si="6"/>
        <v>80</v>
      </c>
      <c r="AA11">
        <f t="shared" si="7"/>
        <v>277</v>
      </c>
      <c r="AB11">
        <f t="shared" si="8"/>
        <v>14</v>
      </c>
      <c r="AC11">
        <f t="shared" si="9"/>
        <v>7</v>
      </c>
      <c r="AD11">
        <f t="shared" si="10"/>
        <v>35</v>
      </c>
      <c r="AF11">
        <f t="shared" si="11"/>
        <v>42</v>
      </c>
      <c r="AG11">
        <f t="shared" si="12"/>
        <v>17</v>
      </c>
      <c r="AH11">
        <f t="shared" si="13"/>
        <v>0</v>
      </c>
      <c r="AI11">
        <f t="shared" si="14"/>
        <v>10</v>
      </c>
      <c r="AK11">
        <f t="shared" si="15"/>
        <v>31</v>
      </c>
      <c r="AL11">
        <f t="shared" si="16"/>
        <v>1</v>
      </c>
      <c r="AM11">
        <f t="shared" si="17"/>
        <v>1</v>
      </c>
      <c r="AN11">
        <f t="shared" si="18"/>
        <v>2</v>
      </c>
      <c r="AP11">
        <f t="shared" si="19"/>
        <v>52</v>
      </c>
      <c r="AQ11">
        <f t="shared" si="20"/>
        <v>34</v>
      </c>
      <c r="AS11">
        <f t="shared" si="23"/>
        <v>60</v>
      </c>
      <c r="AT11">
        <f t="shared" si="24"/>
        <v>26</v>
      </c>
      <c r="AV11">
        <f t="shared" si="21"/>
        <v>-8</v>
      </c>
      <c r="AW11">
        <f t="shared" si="22"/>
        <v>8</v>
      </c>
    </row>
    <row r="12" spans="1:49">
      <c r="A12" s="1">
        <v>46109.865277777775</v>
      </c>
      <c r="B12">
        <v>660.45</v>
      </c>
      <c r="C12">
        <v>556</v>
      </c>
      <c r="D12">
        <v>241</v>
      </c>
      <c r="E12">
        <v>9</v>
      </c>
      <c r="F12">
        <v>95</v>
      </c>
      <c r="G12">
        <v>247</v>
      </c>
      <c r="H12">
        <v>20</v>
      </c>
      <c r="I12">
        <v>7</v>
      </c>
      <c r="J12">
        <v>31</v>
      </c>
      <c r="L12">
        <v>64</v>
      </c>
      <c r="M12">
        <v>12</v>
      </c>
      <c r="N12">
        <v>2</v>
      </c>
      <c r="O12">
        <v>10</v>
      </c>
      <c r="Q12">
        <v>115</v>
      </c>
      <c r="R12">
        <v>6</v>
      </c>
      <c r="S12">
        <v>2</v>
      </c>
      <c r="T12">
        <v>17</v>
      </c>
      <c r="V12">
        <f t="shared" si="3"/>
        <v>505</v>
      </c>
      <c r="W12">
        <f t="shared" si="4"/>
        <v>247</v>
      </c>
      <c r="X12">
        <f t="shared" si="5"/>
        <v>9</v>
      </c>
      <c r="Y12">
        <f t="shared" si="6"/>
        <v>88</v>
      </c>
      <c r="AA12">
        <f t="shared" si="7"/>
        <v>298</v>
      </c>
      <c r="AB12">
        <f t="shared" si="8"/>
        <v>14</v>
      </c>
      <c r="AC12">
        <f t="shared" si="9"/>
        <v>7</v>
      </c>
      <c r="AD12">
        <f t="shared" si="10"/>
        <v>38</v>
      </c>
      <c r="AF12">
        <f t="shared" si="11"/>
        <v>45</v>
      </c>
      <c r="AG12">
        <f t="shared" si="12"/>
        <v>15</v>
      </c>
      <c r="AH12">
        <f t="shared" si="13"/>
        <v>2</v>
      </c>
      <c r="AI12">
        <f t="shared" si="14"/>
        <v>8</v>
      </c>
      <c r="AK12">
        <f t="shared" si="15"/>
        <v>21</v>
      </c>
      <c r="AL12">
        <f t="shared" si="16"/>
        <v>0</v>
      </c>
      <c r="AM12">
        <f t="shared" si="17"/>
        <v>0</v>
      </c>
      <c r="AN12">
        <f t="shared" si="18"/>
        <v>3</v>
      </c>
      <c r="AP12">
        <f t="shared" si="19"/>
        <v>55</v>
      </c>
      <c r="AQ12">
        <f t="shared" si="20"/>
        <v>24</v>
      </c>
      <c r="AS12">
        <f t="shared" si="23"/>
        <v>58</v>
      </c>
      <c r="AT12">
        <f t="shared" si="24"/>
        <v>21</v>
      </c>
      <c r="AV12">
        <f t="shared" si="21"/>
        <v>-3</v>
      </c>
      <c r="AW12">
        <f t="shared" si="22"/>
        <v>3</v>
      </c>
    </row>
    <row r="13" spans="1:49">
      <c r="V13">
        <f t="shared" si="3"/>
        <v>0</v>
      </c>
      <c r="W13">
        <f t="shared" si="4"/>
        <v>0</v>
      </c>
      <c r="X13">
        <f t="shared" si="5"/>
        <v>0</v>
      </c>
      <c r="Y13">
        <f t="shared" si="6"/>
        <v>0</v>
      </c>
      <c r="AA13">
        <f t="shared" si="7"/>
        <v>0</v>
      </c>
      <c r="AB13">
        <f t="shared" si="8"/>
        <v>0</v>
      </c>
      <c r="AC13">
        <f t="shared" si="9"/>
        <v>0</v>
      </c>
      <c r="AD13">
        <f t="shared" si="10"/>
        <v>0</v>
      </c>
      <c r="AV13">
        <f t="shared" si="21"/>
        <v>0</v>
      </c>
      <c r="AW13">
        <f t="shared" si="22"/>
        <v>0</v>
      </c>
    </row>
    <row r="14" spans="1:49">
      <c r="V14">
        <f t="shared" si="3"/>
        <v>0</v>
      </c>
      <c r="W14">
        <f t="shared" si="4"/>
        <v>0</v>
      </c>
      <c r="X14">
        <f t="shared" si="5"/>
        <v>0</v>
      </c>
      <c r="Y14">
        <f t="shared" si="6"/>
        <v>0</v>
      </c>
      <c r="AA14">
        <f t="shared" si="7"/>
        <v>0</v>
      </c>
      <c r="AB14">
        <f t="shared" si="8"/>
        <v>0</v>
      </c>
      <c r="AC14">
        <f t="shared" si="9"/>
        <v>0</v>
      </c>
      <c r="AD14">
        <f t="shared" si="10"/>
        <v>0</v>
      </c>
      <c r="AV14">
        <f t="shared" si="21"/>
        <v>0</v>
      </c>
      <c r="AW14">
        <f t="shared" si="22"/>
        <v>0</v>
      </c>
    </row>
    <row r="15" spans="1:49">
      <c r="A15" s="1">
        <v>46110.1328125</v>
      </c>
      <c r="B15">
        <v>60.04</v>
      </c>
      <c r="C15">
        <v>50</v>
      </c>
      <c r="D15">
        <v>14</v>
      </c>
      <c r="E15">
        <v>3</v>
      </c>
      <c r="F15">
        <v>11</v>
      </c>
      <c r="G15">
        <v>22</v>
      </c>
      <c r="H15">
        <v>0</v>
      </c>
      <c r="I15">
        <v>2</v>
      </c>
      <c r="J15">
        <v>2</v>
      </c>
      <c r="L15">
        <v>3</v>
      </c>
      <c r="M15">
        <v>2</v>
      </c>
      <c r="N15">
        <v>0</v>
      </c>
      <c r="O15">
        <v>1</v>
      </c>
      <c r="Q15">
        <v>10</v>
      </c>
      <c r="R15">
        <v>1</v>
      </c>
      <c r="S15">
        <v>0</v>
      </c>
      <c r="T15">
        <v>3</v>
      </c>
      <c r="V15">
        <f>C15+L15-Q15</f>
        <v>43</v>
      </c>
      <c r="W15">
        <f>D15+M15-R15</f>
        <v>15</v>
      </c>
      <c r="X15">
        <f>E15+N15-S15</f>
        <v>3</v>
      </c>
      <c r="Y15">
        <f>F15+O15-T15</f>
        <v>9</v>
      </c>
      <c r="AA15">
        <f>G15-L15+Q15</f>
        <v>29</v>
      </c>
      <c r="AB15">
        <f>H15-M15+R15</f>
        <v>-1</v>
      </c>
      <c r="AC15">
        <f>I15-N15+S15</f>
        <v>2</v>
      </c>
      <c r="AD15">
        <f>J15-O15+T15</f>
        <v>4</v>
      </c>
      <c r="AF15">
        <f>V15-V14</f>
        <v>43</v>
      </c>
      <c r="AG15">
        <f>W15-W14</f>
        <v>15</v>
      </c>
      <c r="AH15">
        <f>X15-X14</f>
        <v>3</v>
      </c>
      <c r="AI15">
        <f>Y15-Y14</f>
        <v>9</v>
      </c>
      <c r="AK15">
        <f>AA15-AA14</f>
        <v>29</v>
      </c>
      <c r="AL15">
        <f>AB15-AB14</f>
        <v>-1</v>
      </c>
      <c r="AM15">
        <f>AC15-AC14</f>
        <v>2</v>
      </c>
      <c r="AN15">
        <f>AD15-AD14</f>
        <v>4</v>
      </c>
      <c r="AP15">
        <f t="shared" si="19"/>
        <v>55</v>
      </c>
      <c r="AQ15">
        <f t="shared" si="20"/>
        <v>35</v>
      </c>
      <c r="AS15">
        <f t="shared" si="23"/>
        <v>64</v>
      </c>
      <c r="AT15">
        <f t="shared" si="24"/>
        <v>26</v>
      </c>
      <c r="AV15">
        <f t="shared" si="21"/>
        <v>-9</v>
      </c>
      <c r="AW15">
        <f t="shared" si="22"/>
        <v>9</v>
      </c>
    </row>
    <row r="16" spans="1:49">
      <c r="A16" s="1">
        <v>46110.135555555556</v>
      </c>
      <c r="B16">
        <v>120.08</v>
      </c>
      <c r="C16">
        <v>102</v>
      </c>
      <c r="D16">
        <v>38</v>
      </c>
      <c r="E16">
        <v>3</v>
      </c>
      <c r="F16">
        <v>17</v>
      </c>
      <c r="G16">
        <v>46</v>
      </c>
      <c r="H16">
        <v>0</v>
      </c>
      <c r="I16">
        <v>2</v>
      </c>
      <c r="J16">
        <v>5</v>
      </c>
      <c r="L16">
        <v>6</v>
      </c>
      <c r="M16">
        <v>2</v>
      </c>
      <c r="N16">
        <v>0</v>
      </c>
      <c r="O16">
        <v>1</v>
      </c>
      <c r="Q16">
        <v>25</v>
      </c>
      <c r="R16">
        <v>1</v>
      </c>
      <c r="S16">
        <v>0</v>
      </c>
      <c r="T16">
        <v>4</v>
      </c>
      <c r="V16">
        <f>C16+L16-Q16</f>
        <v>83</v>
      </c>
      <c r="W16">
        <f>D16+M16-R16</f>
        <v>39</v>
      </c>
      <c r="X16">
        <f>E16+N16-S16</f>
        <v>3</v>
      </c>
      <c r="Y16">
        <f>F16+O16-T16</f>
        <v>14</v>
      </c>
      <c r="AA16">
        <f>G16-L16+Q16</f>
        <v>65</v>
      </c>
      <c r="AB16">
        <f>H16-M16+R16</f>
        <v>-1</v>
      </c>
      <c r="AC16">
        <f>I16-N16+S16</f>
        <v>2</v>
      </c>
      <c r="AD16">
        <f>J16-O16+T16</f>
        <v>8</v>
      </c>
      <c r="AF16">
        <f>V16-V15</f>
        <v>40</v>
      </c>
      <c r="AG16">
        <f>W16-W15</f>
        <v>24</v>
      </c>
      <c r="AH16">
        <f>X16-X15</f>
        <v>0</v>
      </c>
      <c r="AI16">
        <f>Y16-Y15</f>
        <v>5</v>
      </c>
      <c r="AK16">
        <f>AA16-AA15</f>
        <v>36</v>
      </c>
      <c r="AL16">
        <f>AB16-AB15</f>
        <v>0</v>
      </c>
      <c r="AM16">
        <f>AC16-AC15</f>
        <v>0</v>
      </c>
      <c r="AN16">
        <f>AD16-AD15</f>
        <v>4</v>
      </c>
      <c r="AP16">
        <f t="shared" si="19"/>
        <v>45</v>
      </c>
      <c r="AQ16">
        <f t="shared" si="20"/>
        <v>40</v>
      </c>
      <c r="AS16">
        <f t="shared" si="23"/>
        <v>58</v>
      </c>
      <c r="AT16">
        <f t="shared" si="24"/>
        <v>27</v>
      </c>
      <c r="AV16">
        <f t="shared" si="21"/>
        <v>-13</v>
      </c>
      <c r="AW16">
        <f t="shared" si="22"/>
        <v>13</v>
      </c>
    </row>
    <row r="17" spans="1:49">
      <c r="A17" s="1">
        <v>46110.138321759259</v>
      </c>
      <c r="B17">
        <v>180.12</v>
      </c>
      <c r="C17">
        <v>152</v>
      </c>
      <c r="D17">
        <v>62</v>
      </c>
      <c r="E17">
        <v>3</v>
      </c>
      <c r="F17">
        <v>28</v>
      </c>
      <c r="G17">
        <v>66</v>
      </c>
      <c r="H17">
        <v>0</v>
      </c>
      <c r="I17">
        <v>3</v>
      </c>
      <c r="J17">
        <v>9</v>
      </c>
      <c r="L17">
        <v>9</v>
      </c>
      <c r="M17">
        <v>3</v>
      </c>
      <c r="N17">
        <v>0</v>
      </c>
      <c r="O17">
        <v>10</v>
      </c>
      <c r="Q17">
        <v>34</v>
      </c>
      <c r="R17">
        <v>1</v>
      </c>
      <c r="S17">
        <v>0</v>
      </c>
      <c r="T17">
        <v>5</v>
      </c>
      <c r="V17">
        <f>C17+L17-Q17</f>
        <v>127</v>
      </c>
      <c r="W17">
        <f>D17+M17-R17</f>
        <v>64</v>
      </c>
      <c r="X17">
        <f>E17+N17-S17</f>
        <v>3</v>
      </c>
      <c r="Y17">
        <f>F17+O17-T17</f>
        <v>33</v>
      </c>
      <c r="AA17">
        <f>G17-L17+Q17</f>
        <v>91</v>
      </c>
      <c r="AB17">
        <f>H17-M17+R17</f>
        <v>-2</v>
      </c>
      <c r="AC17">
        <f>I17-N17+S17</f>
        <v>3</v>
      </c>
      <c r="AD17">
        <f>J17-O17+T17</f>
        <v>4</v>
      </c>
      <c r="AF17">
        <f>V17-V16</f>
        <v>44</v>
      </c>
      <c r="AG17">
        <f>W17-W16</f>
        <v>25</v>
      </c>
      <c r="AH17">
        <f>X17-X16</f>
        <v>0</v>
      </c>
      <c r="AI17">
        <f>Y17-Y16</f>
        <v>19</v>
      </c>
      <c r="AK17">
        <f>AA17-AA16</f>
        <v>26</v>
      </c>
      <c r="AL17">
        <f>AB17-AB16</f>
        <v>-1</v>
      </c>
      <c r="AM17">
        <f>AC17-AC16</f>
        <v>1</v>
      </c>
      <c r="AN17">
        <f>AD17-AD16</f>
        <v>-4</v>
      </c>
      <c r="AP17">
        <f t="shared" si="19"/>
        <v>63</v>
      </c>
      <c r="AQ17">
        <f t="shared" si="20"/>
        <v>23</v>
      </c>
      <c r="AS17">
        <f t="shared" si="23"/>
        <v>61</v>
      </c>
      <c r="AT17">
        <f t="shared" si="24"/>
        <v>25</v>
      </c>
      <c r="AV17">
        <f t="shared" si="21"/>
        <v>2</v>
      </c>
      <c r="AW17">
        <f t="shared" si="22"/>
        <v>-2</v>
      </c>
    </row>
    <row r="18" spans="1:49">
      <c r="A18" s="1">
        <v>46110.14135416667</v>
      </c>
      <c r="B18">
        <v>240.16</v>
      </c>
      <c r="C18">
        <v>207</v>
      </c>
      <c r="D18">
        <v>79</v>
      </c>
      <c r="E18">
        <v>3</v>
      </c>
      <c r="F18">
        <v>33</v>
      </c>
      <c r="G18">
        <v>88</v>
      </c>
      <c r="H18">
        <v>5</v>
      </c>
      <c r="I18">
        <v>4</v>
      </c>
      <c r="J18">
        <v>16</v>
      </c>
      <c r="L18">
        <v>13</v>
      </c>
      <c r="M18">
        <v>3</v>
      </c>
      <c r="N18">
        <v>1</v>
      </c>
      <c r="O18">
        <v>11</v>
      </c>
      <c r="Q18">
        <v>45</v>
      </c>
      <c r="R18">
        <v>2</v>
      </c>
      <c r="S18">
        <v>0</v>
      </c>
      <c r="T18">
        <v>10</v>
      </c>
      <c r="V18">
        <f>C18+L18-Q18</f>
        <v>175</v>
      </c>
      <c r="W18">
        <f>D18+M18-R18</f>
        <v>80</v>
      </c>
      <c r="X18">
        <f>E18+N18-S18</f>
        <v>4</v>
      </c>
      <c r="Y18">
        <f>F18+O18-T18</f>
        <v>34</v>
      </c>
      <c r="AA18">
        <f>G18-L18+Q18</f>
        <v>120</v>
      </c>
      <c r="AB18">
        <f>H18-M18+R18</f>
        <v>4</v>
      </c>
      <c r="AC18">
        <f>I18-N18+S18</f>
        <v>3</v>
      </c>
      <c r="AD18">
        <f>J18-O18+T18</f>
        <v>15</v>
      </c>
      <c r="AF18">
        <f>V18-V17</f>
        <v>48</v>
      </c>
      <c r="AG18">
        <f>W18-W17</f>
        <v>16</v>
      </c>
      <c r="AH18">
        <f>X18-X17</f>
        <v>1</v>
      </c>
      <c r="AI18">
        <f>Y18-Y17</f>
        <v>1</v>
      </c>
      <c r="AK18">
        <f>AA18-AA17</f>
        <v>29</v>
      </c>
      <c r="AL18">
        <f>AB18-AB17</f>
        <v>6</v>
      </c>
      <c r="AM18">
        <f>AC18-AC17</f>
        <v>0</v>
      </c>
      <c r="AN18">
        <f>AD18-AD17</f>
        <v>11</v>
      </c>
      <c r="AP18">
        <f t="shared" si="19"/>
        <v>50</v>
      </c>
      <c r="AQ18">
        <f t="shared" si="20"/>
        <v>40</v>
      </c>
      <c r="AS18">
        <f t="shared" si="23"/>
        <v>60</v>
      </c>
      <c r="AT18">
        <f t="shared" si="24"/>
        <v>30</v>
      </c>
      <c r="AV18">
        <f t="shared" si="21"/>
        <v>-10</v>
      </c>
      <c r="AW18">
        <f t="shared" si="22"/>
        <v>10</v>
      </c>
    </row>
    <row r="19" spans="1:49">
      <c r="A19" s="1">
        <v>46110.144537037035</v>
      </c>
      <c r="B19">
        <v>300.2</v>
      </c>
      <c r="C19">
        <v>256</v>
      </c>
      <c r="D19">
        <v>94</v>
      </c>
      <c r="E19">
        <v>3</v>
      </c>
      <c r="F19">
        <v>42</v>
      </c>
      <c r="G19">
        <v>106</v>
      </c>
      <c r="H19">
        <v>9</v>
      </c>
      <c r="I19">
        <v>5</v>
      </c>
      <c r="J19">
        <v>23</v>
      </c>
      <c r="L19">
        <v>17</v>
      </c>
      <c r="M19">
        <v>3</v>
      </c>
      <c r="N19">
        <v>1</v>
      </c>
      <c r="O19">
        <v>12</v>
      </c>
      <c r="Q19">
        <v>54</v>
      </c>
      <c r="R19">
        <v>2</v>
      </c>
      <c r="S19">
        <v>2</v>
      </c>
      <c r="T19">
        <v>12</v>
      </c>
      <c r="V19">
        <f>C19+L19-Q19</f>
        <v>219</v>
      </c>
      <c r="W19">
        <f>D19+M19-R19</f>
        <v>95</v>
      </c>
      <c r="X19">
        <f>E19+N19-S19</f>
        <v>2</v>
      </c>
      <c r="Y19">
        <f>F19+O19-T19</f>
        <v>42</v>
      </c>
      <c r="AA19">
        <f>G19-L19+Q19</f>
        <v>143</v>
      </c>
      <c r="AB19">
        <f>H19-M19+R19</f>
        <v>8</v>
      </c>
      <c r="AC19">
        <f>I19-N19+S19</f>
        <v>6</v>
      </c>
      <c r="AD19">
        <f>J19-O19+T19</f>
        <v>23</v>
      </c>
      <c r="AF19">
        <f>V19-V18</f>
        <v>44</v>
      </c>
      <c r="AG19">
        <f>W19-W18</f>
        <v>15</v>
      </c>
      <c r="AH19">
        <f>X19-X18</f>
        <v>-2</v>
      </c>
      <c r="AI19">
        <f>Y19-Y18</f>
        <v>8</v>
      </c>
      <c r="AK19">
        <f>AA19-AA18</f>
        <v>23</v>
      </c>
      <c r="AL19">
        <f>AB19-AB18</f>
        <v>4</v>
      </c>
      <c r="AM19">
        <f>AC19-AC18</f>
        <v>3</v>
      </c>
      <c r="AN19">
        <f>AD19-AD18</f>
        <v>8</v>
      </c>
      <c r="AP19">
        <f t="shared" si="19"/>
        <v>50</v>
      </c>
      <c r="AQ19">
        <f t="shared" si="20"/>
        <v>34</v>
      </c>
      <c r="AS19">
        <f t="shared" si="23"/>
        <v>58</v>
      </c>
      <c r="AT19">
        <f t="shared" si="24"/>
        <v>26</v>
      </c>
      <c r="AV19">
        <f t="shared" si="21"/>
        <v>-8</v>
      </c>
      <c r="AW19">
        <f t="shared" si="22"/>
        <v>8</v>
      </c>
    </row>
    <row r="20" spans="1:49">
      <c r="A20" s="1">
        <v>46110.147685185184</v>
      </c>
      <c r="B20">
        <v>360.24</v>
      </c>
      <c r="C20">
        <v>312</v>
      </c>
      <c r="D20">
        <v>114</v>
      </c>
      <c r="E20">
        <v>3</v>
      </c>
      <c r="F20">
        <v>50</v>
      </c>
      <c r="G20">
        <v>129</v>
      </c>
      <c r="H20">
        <v>9</v>
      </c>
      <c r="I20">
        <v>6</v>
      </c>
      <c r="J20">
        <v>28</v>
      </c>
      <c r="L20">
        <v>24</v>
      </c>
      <c r="M20">
        <v>3</v>
      </c>
      <c r="N20">
        <v>1</v>
      </c>
      <c r="O20">
        <v>12</v>
      </c>
      <c r="Q20">
        <v>66</v>
      </c>
      <c r="R20">
        <v>2</v>
      </c>
      <c r="S20">
        <v>2</v>
      </c>
      <c r="T20">
        <v>14</v>
      </c>
      <c r="V20">
        <f>C20+L20-Q20</f>
        <v>270</v>
      </c>
      <c r="W20">
        <f>D20+M20-R20</f>
        <v>115</v>
      </c>
      <c r="X20">
        <f>E20+N20-S20</f>
        <v>2</v>
      </c>
      <c r="Y20">
        <f>F20+O20-T20</f>
        <v>48</v>
      </c>
      <c r="AA20">
        <f>G20-L20+Q20</f>
        <v>171</v>
      </c>
      <c r="AB20">
        <f>H20-M20+R20</f>
        <v>8</v>
      </c>
      <c r="AC20">
        <f>I20-N20+S20</f>
        <v>7</v>
      </c>
      <c r="AD20">
        <f>J20-O20+T20</f>
        <v>30</v>
      </c>
      <c r="AF20">
        <f>V20-V19</f>
        <v>51</v>
      </c>
      <c r="AG20">
        <f>W20-W19</f>
        <v>20</v>
      </c>
      <c r="AH20">
        <f>X20-X19</f>
        <v>0</v>
      </c>
      <c r="AI20">
        <f>Y20-Y19</f>
        <v>6</v>
      </c>
      <c r="AK20">
        <f>AA20-AA19</f>
        <v>28</v>
      </c>
      <c r="AL20">
        <f>AB20-AB19</f>
        <v>0</v>
      </c>
      <c r="AM20">
        <f>AC20-AC19</f>
        <v>1</v>
      </c>
      <c r="AN20">
        <f>AD20-AD19</f>
        <v>7</v>
      </c>
      <c r="AP20">
        <f t="shared" si="19"/>
        <v>57</v>
      </c>
      <c r="AQ20">
        <f t="shared" si="20"/>
        <v>36</v>
      </c>
      <c r="AS20">
        <f t="shared" si="23"/>
        <v>64</v>
      </c>
      <c r="AT20">
        <f t="shared" si="24"/>
        <v>29</v>
      </c>
      <c r="AV20">
        <f t="shared" si="21"/>
        <v>-7</v>
      </c>
      <c r="AW20">
        <f t="shared" si="22"/>
        <v>7</v>
      </c>
    </row>
    <row r="21" spans="1:49">
      <c r="A21" s="1">
        <v>46110.150729166664</v>
      </c>
      <c r="B21">
        <v>420.28</v>
      </c>
      <c r="C21">
        <v>376</v>
      </c>
      <c r="D21">
        <v>134</v>
      </c>
      <c r="E21">
        <v>3</v>
      </c>
      <c r="F21">
        <v>60</v>
      </c>
      <c r="G21">
        <v>152</v>
      </c>
      <c r="H21">
        <v>12</v>
      </c>
      <c r="I21">
        <v>6</v>
      </c>
      <c r="J21">
        <v>32</v>
      </c>
      <c r="L21">
        <v>30</v>
      </c>
      <c r="M21">
        <v>5</v>
      </c>
      <c r="N21">
        <v>1</v>
      </c>
      <c r="O21">
        <v>12</v>
      </c>
      <c r="Q21">
        <v>75</v>
      </c>
      <c r="R21">
        <v>4</v>
      </c>
      <c r="S21">
        <v>2</v>
      </c>
      <c r="T21">
        <v>15</v>
      </c>
      <c r="V21">
        <f>C21+L21-Q21</f>
        <v>331</v>
      </c>
      <c r="W21">
        <f>D21+M21-R21</f>
        <v>135</v>
      </c>
      <c r="X21">
        <f>E21+N21-S21</f>
        <v>2</v>
      </c>
      <c r="Y21">
        <f>F21+O21-T21</f>
        <v>57</v>
      </c>
      <c r="AA21">
        <f>G21-L21+Q21</f>
        <v>197</v>
      </c>
      <c r="AB21">
        <f>H21-M21+R21</f>
        <v>11</v>
      </c>
      <c r="AC21">
        <f>I21-N21+S21</f>
        <v>7</v>
      </c>
      <c r="AD21">
        <f>J21-O21+T21</f>
        <v>35</v>
      </c>
      <c r="AF21">
        <f>V21-V20</f>
        <v>61</v>
      </c>
      <c r="AG21">
        <f>W21-W20</f>
        <v>20</v>
      </c>
      <c r="AH21">
        <f>X21-X20</f>
        <v>0</v>
      </c>
      <c r="AI21">
        <f>Y21-Y20</f>
        <v>9</v>
      </c>
      <c r="AK21">
        <f>AA21-AA20</f>
        <v>26</v>
      </c>
      <c r="AL21">
        <f>AB21-AB20</f>
        <v>3</v>
      </c>
      <c r="AM21">
        <f>AC21-AC20</f>
        <v>0</v>
      </c>
      <c r="AN21">
        <f>AD21-AD20</f>
        <v>5</v>
      </c>
      <c r="AP21">
        <f t="shared" si="19"/>
        <v>70</v>
      </c>
      <c r="AQ21">
        <f t="shared" si="20"/>
        <v>31</v>
      </c>
      <c r="AS21">
        <f t="shared" si="23"/>
        <v>74</v>
      </c>
      <c r="AT21">
        <f t="shared" si="24"/>
        <v>27</v>
      </c>
      <c r="AV21">
        <f t="shared" si="21"/>
        <v>-4</v>
      </c>
      <c r="AW21">
        <f t="shared" si="22"/>
        <v>4</v>
      </c>
    </row>
    <row r="22" spans="1:49">
      <c r="A22" s="1">
        <v>46110.154282407406</v>
      </c>
      <c r="B22">
        <v>480.33</v>
      </c>
      <c r="C22">
        <v>417</v>
      </c>
      <c r="D22">
        <v>155</v>
      </c>
      <c r="E22">
        <v>5</v>
      </c>
      <c r="F22">
        <v>68</v>
      </c>
      <c r="G22">
        <v>176</v>
      </c>
      <c r="H22">
        <v>12</v>
      </c>
      <c r="I22">
        <v>9</v>
      </c>
      <c r="J22">
        <v>32</v>
      </c>
      <c r="L22">
        <v>38</v>
      </c>
      <c r="M22">
        <v>6</v>
      </c>
      <c r="N22">
        <v>1</v>
      </c>
      <c r="O22">
        <v>12</v>
      </c>
      <c r="Q22">
        <v>90</v>
      </c>
      <c r="R22">
        <v>4</v>
      </c>
      <c r="S22">
        <v>2</v>
      </c>
      <c r="T22">
        <v>15</v>
      </c>
      <c r="V22">
        <f>C22+L22-Q22</f>
        <v>365</v>
      </c>
      <c r="W22">
        <f>D22+M22-R22</f>
        <v>157</v>
      </c>
      <c r="X22">
        <f>E22+N22-S22</f>
        <v>4</v>
      </c>
      <c r="Y22">
        <f>F22+O22-T22</f>
        <v>65</v>
      </c>
      <c r="AA22">
        <f>G22-L22+Q22</f>
        <v>228</v>
      </c>
      <c r="AB22">
        <f>H22-M22+R22</f>
        <v>10</v>
      </c>
      <c r="AC22">
        <f>I22-N22+S22</f>
        <v>10</v>
      </c>
      <c r="AD22">
        <f>J22-O22+T22</f>
        <v>35</v>
      </c>
      <c r="AF22">
        <f>V22-V21</f>
        <v>34</v>
      </c>
      <c r="AG22">
        <f>W22-W21</f>
        <v>22</v>
      </c>
      <c r="AH22">
        <f>X22-X21</f>
        <v>2</v>
      </c>
      <c r="AI22">
        <f>Y22-Y21</f>
        <v>8</v>
      </c>
      <c r="AK22">
        <f>AA22-AA21</f>
        <v>31</v>
      </c>
      <c r="AL22">
        <f>AB22-AB21</f>
        <v>-1</v>
      </c>
      <c r="AM22">
        <f>AC22-AC21</f>
        <v>3</v>
      </c>
      <c r="AN22">
        <f>AD22-AD21</f>
        <v>0</v>
      </c>
      <c r="AP22">
        <f t="shared" si="19"/>
        <v>44</v>
      </c>
      <c r="AQ22">
        <f t="shared" si="20"/>
        <v>34</v>
      </c>
      <c r="AS22">
        <f t="shared" si="23"/>
        <v>51</v>
      </c>
      <c r="AT22">
        <f t="shared" si="24"/>
        <v>27</v>
      </c>
      <c r="AV22">
        <f t="shared" si="21"/>
        <v>-7</v>
      </c>
      <c r="AW22">
        <f t="shared" si="22"/>
        <v>7</v>
      </c>
    </row>
    <row r="23" spans="1:49">
      <c r="A23" s="1">
        <v>46110.157199074078</v>
      </c>
      <c r="B23">
        <v>540.37</v>
      </c>
      <c r="C23">
        <v>473</v>
      </c>
      <c r="D23">
        <v>167</v>
      </c>
      <c r="E23">
        <v>5</v>
      </c>
      <c r="F23">
        <v>76</v>
      </c>
      <c r="G23">
        <v>192</v>
      </c>
      <c r="H23">
        <v>17</v>
      </c>
      <c r="I23">
        <v>10</v>
      </c>
      <c r="J23">
        <v>36</v>
      </c>
      <c r="L23">
        <v>44</v>
      </c>
      <c r="M23">
        <v>6</v>
      </c>
      <c r="N23">
        <v>2</v>
      </c>
      <c r="O23">
        <v>12</v>
      </c>
      <c r="Q23">
        <v>100</v>
      </c>
      <c r="R23">
        <v>6</v>
      </c>
      <c r="S23">
        <v>2</v>
      </c>
      <c r="T23">
        <v>15</v>
      </c>
      <c r="V23">
        <f>C23+L23-Q23</f>
        <v>417</v>
      </c>
      <c r="W23">
        <f>D23+M23-R23</f>
        <v>167</v>
      </c>
      <c r="X23">
        <f>E23+N23-S23</f>
        <v>5</v>
      </c>
      <c r="Y23">
        <f>F23+O23-T23</f>
        <v>73</v>
      </c>
      <c r="AA23">
        <f>G23-L23+Q23</f>
        <v>248</v>
      </c>
      <c r="AB23">
        <f>H23-M23+R23</f>
        <v>17</v>
      </c>
      <c r="AC23">
        <f>I23-N23+S23</f>
        <v>10</v>
      </c>
      <c r="AD23">
        <f>J23-O23+T23</f>
        <v>39</v>
      </c>
      <c r="AF23">
        <f>V23-V22</f>
        <v>52</v>
      </c>
      <c r="AG23">
        <f>W23-W22</f>
        <v>10</v>
      </c>
      <c r="AH23">
        <f>X23-X22</f>
        <v>1</v>
      </c>
      <c r="AI23">
        <f>Y23-Y22</f>
        <v>8</v>
      </c>
      <c r="AK23">
        <f>AA23-AA22</f>
        <v>20</v>
      </c>
      <c r="AL23">
        <f>AB23-AB22</f>
        <v>7</v>
      </c>
      <c r="AM23">
        <f>AC23-AC22</f>
        <v>0</v>
      </c>
      <c r="AN23">
        <f>AD23-AD22</f>
        <v>4</v>
      </c>
      <c r="AP23">
        <f t="shared" si="19"/>
        <v>61</v>
      </c>
      <c r="AQ23">
        <f t="shared" si="20"/>
        <v>24</v>
      </c>
      <c r="AS23">
        <f t="shared" si="23"/>
        <v>64</v>
      </c>
      <c r="AT23">
        <f t="shared" si="24"/>
        <v>21</v>
      </c>
      <c r="AV23">
        <f t="shared" si="21"/>
        <v>-3</v>
      </c>
      <c r="AW23">
        <f t="shared" si="22"/>
        <v>3</v>
      </c>
    </row>
    <row r="24" spans="1:49">
      <c r="A24" s="1">
        <v>46110.160046296296</v>
      </c>
      <c r="B24">
        <v>600.41</v>
      </c>
      <c r="C24">
        <v>522</v>
      </c>
      <c r="D24">
        <v>182</v>
      </c>
      <c r="E24">
        <v>7</v>
      </c>
      <c r="F24">
        <v>89</v>
      </c>
      <c r="G24">
        <v>216</v>
      </c>
      <c r="H24">
        <v>17</v>
      </c>
      <c r="I24">
        <v>11</v>
      </c>
      <c r="J24">
        <v>40</v>
      </c>
      <c r="L24">
        <v>48</v>
      </c>
      <c r="M24">
        <v>6</v>
      </c>
      <c r="N24">
        <v>2</v>
      </c>
      <c r="O24">
        <v>16</v>
      </c>
      <c r="Q24">
        <v>108</v>
      </c>
      <c r="R24">
        <v>6</v>
      </c>
      <c r="S24">
        <v>2</v>
      </c>
      <c r="T24">
        <v>20</v>
      </c>
      <c r="V24">
        <f>C24+L24-Q24</f>
        <v>462</v>
      </c>
      <c r="W24">
        <f>D24+M24-R24</f>
        <v>182</v>
      </c>
      <c r="X24">
        <f>E24+N24-S24</f>
        <v>7</v>
      </c>
      <c r="Y24">
        <f>F24+O24-T24</f>
        <v>85</v>
      </c>
      <c r="AA24">
        <f>G24-L24+Q24</f>
        <v>276</v>
      </c>
      <c r="AB24">
        <f>H24-M24+R24</f>
        <v>17</v>
      </c>
      <c r="AC24">
        <f>I24-N24+S24</f>
        <v>11</v>
      </c>
      <c r="AD24">
        <f>J24-O24+T24</f>
        <v>44</v>
      </c>
      <c r="AF24">
        <f>V24-V23</f>
        <v>45</v>
      </c>
      <c r="AG24">
        <f>W24-W23</f>
        <v>15</v>
      </c>
      <c r="AH24">
        <f>X24-X23</f>
        <v>2</v>
      </c>
      <c r="AI24">
        <f>Y24-Y23</f>
        <v>12</v>
      </c>
      <c r="AK24">
        <f>AA24-AA23</f>
        <v>28</v>
      </c>
      <c r="AL24">
        <f>AB24-AB23</f>
        <v>0</v>
      </c>
      <c r="AM24">
        <f>AC24-AC23</f>
        <v>1</v>
      </c>
      <c r="AN24">
        <f>AD24-AD23</f>
        <v>5</v>
      </c>
      <c r="AP24">
        <f t="shared" si="19"/>
        <v>59</v>
      </c>
      <c r="AQ24">
        <f t="shared" si="20"/>
        <v>34</v>
      </c>
      <c r="AS24">
        <f t="shared" si="23"/>
        <v>64</v>
      </c>
      <c r="AT24">
        <f t="shared" si="24"/>
        <v>29</v>
      </c>
      <c r="AV24">
        <f t="shared" si="21"/>
        <v>-5</v>
      </c>
      <c r="AW24">
        <f t="shared" si="22"/>
        <v>5</v>
      </c>
    </row>
    <row r="25" spans="1:49">
      <c r="A25" s="1">
        <v>46110.162858796299</v>
      </c>
      <c r="B25">
        <v>660.45</v>
      </c>
      <c r="C25">
        <v>578</v>
      </c>
      <c r="D25">
        <v>200</v>
      </c>
      <c r="E25">
        <v>8</v>
      </c>
      <c r="F25">
        <v>93</v>
      </c>
      <c r="G25">
        <v>234</v>
      </c>
      <c r="H25">
        <v>19</v>
      </c>
      <c r="I25">
        <v>11</v>
      </c>
      <c r="J25">
        <v>42</v>
      </c>
      <c r="L25">
        <v>51</v>
      </c>
      <c r="M25">
        <v>6</v>
      </c>
      <c r="N25">
        <v>2</v>
      </c>
      <c r="O25">
        <v>17</v>
      </c>
      <c r="Q25">
        <v>113</v>
      </c>
      <c r="R25">
        <v>6</v>
      </c>
      <c r="S25">
        <v>2</v>
      </c>
      <c r="T25">
        <v>21</v>
      </c>
      <c r="V25">
        <f>C25+L25-Q25</f>
        <v>516</v>
      </c>
      <c r="W25">
        <f>D25+M25-R25</f>
        <v>200</v>
      </c>
      <c r="X25">
        <f>E25+N25-S25</f>
        <v>8</v>
      </c>
      <c r="Y25">
        <f>F25+O25-T25</f>
        <v>89</v>
      </c>
      <c r="AA25">
        <f>G25-L25+Q25</f>
        <v>296</v>
      </c>
      <c r="AB25">
        <f>H25-M25+R25</f>
        <v>19</v>
      </c>
      <c r="AC25">
        <f>I25-N25+S25</f>
        <v>11</v>
      </c>
      <c r="AD25">
        <f>J25-O25+T25</f>
        <v>46</v>
      </c>
      <c r="AF25">
        <f>V25-V24</f>
        <v>54</v>
      </c>
      <c r="AG25">
        <f>W25-W24</f>
        <v>18</v>
      </c>
      <c r="AH25">
        <f>X25-X24</f>
        <v>1</v>
      </c>
      <c r="AI25">
        <f>Y25-Y24</f>
        <v>4</v>
      </c>
      <c r="AK25">
        <f>AA25-AA24</f>
        <v>20</v>
      </c>
      <c r="AL25">
        <f>AB25-AB24</f>
        <v>2</v>
      </c>
      <c r="AM25">
        <f>AC25-AC24</f>
        <v>0</v>
      </c>
      <c r="AN25">
        <f>AD25-AD24</f>
        <v>2</v>
      </c>
      <c r="AP25">
        <f t="shared" si="19"/>
        <v>59</v>
      </c>
      <c r="AQ25">
        <f t="shared" si="20"/>
        <v>22</v>
      </c>
      <c r="AS25">
        <f t="shared" si="23"/>
        <v>61</v>
      </c>
      <c r="AT25">
        <f t="shared" si="24"/>
        <v>20</v>
      </c>
      <c r="AV25">
        <f t="shared" si="21"/>
        <v>-2</v>
      </c>
      <c r="AW25">
        <f t="shared" si="22"/>
        <v>2</v>
      </c>
    </row>
    <row r="26" spans="1:49">
      <c r="A26" s="1">
        <v>46110.16578703704</v>
      </c>
      <c r="B26">
        <v>720.49</v>
      </c>
      <c r="C26">
        <v>626</v>
      </c>
      <c r="D26">
        <v>218</v>
      </c>
      <c r="E26">
        <v>12</v>
      </c>
      <c r="F26">
        <v>104</v>
      </c>
      <c r="G26">
        <v>259</v>
      </c>
      <c r="H26">
        <v>20</v>
      </c>
      <c r="I26">
        <v>12</v>
      </c>
      <c r="J26">
        <v>45</v>
      </c>
      <c r="L26">
        <v>59</v>
      </c>
      <c r="M26">
        <v>11</v>
      </c>
      <c r="N26">
        <v>2</v>
      </c>
      <c r="O26">
        <v>17</v>
      </c>
      <c r="Q26">
        <v>125</v>
      </c>
      <c r="R26">
        <v>7</v>
      </c>
      <c r="S26">
        <v>2</v>
      </c>
      <c r="T26">
        <v>23</v>
      </c>
      <c r="V26">
        <f>C26+L26-Q26</f>
        <v>560</v>
      </c>
      <c r="W26">
        <f>D26+M26-R26</f>
        <v>222</v>
      </c>
      <c r="X26">
        <f>E26+N26-S26</f>
        <v>12</v>
      </c>
      <c r="Y26">
        <f>F26+O26-T26</f>
        <v>98</v>
      </c>
      <c r="AA26">
        <f>G26-L26+Q26</f>
        <v>325</v>
      </c>
      <c r="AB26">
        <f>H26-M26+R26</f>
        <v>16</v>
      </c>
      <c r="AC26">
        <f>I26-N26+S26</f>
        <v>12</v>
      </c>
      <c r="AD26">
        <f>J26-O26+T26</f>
        <v>51</v>
      </c>
      <c r="AF26">
        <f>V26-V25</f>
        <v>44</v>
      </c>
      <c r="AG26">
        <f>W26-W25</f>
        <v>22</v>
      </c>
      <c r="AH26">
        <f>X26-X25</f>
        <v>4</v>
      </c>
      <c r="AI26">
        <f>Y26-Y25</f>
        <v>9</v>
      </c>
      <c r="AK26">
        <f>AA26-AA25</f>
        <v>29</v>
      </c>
      <c r="AL26">
        <f>AB26-AB25</f>
        <v>-3</v>
      </c>
      <c r="AM26">
        <f>AC26-AC25</f>
        <v>1</v>
      </c>
      <c r="AN26">
        <f>AD26-AD25</f>
        <v>5</v>
      </c>
      <c r="AP26">
        <f t="shared" si="19"/>
        <v>57</v>
      </c>
      <c r="AQ26">
        <f t="shared" si="20"/>
        <v>35</v>
      </c>
      <c r="AS26">
        <f t="shared" si="23"/>
        <v>63</v>
      </c>
      <c r="AT26">
        <f t="shared" si="24"/>
        <v>29</v>
      </c>
      <c r="AV26">
        <f t="shared" si="21"/>
        <v>-6</v>
      </c>
      <c r="AW26">
        <f t="shared" si="22"/>
        <v>6</v>
      </c>
    </row>
    <row r="27" spans="1:49">
      <c r="A27" s="1">
        <v>46110.168587962966</v>
      </c>
      <c r="B27">
        <v>780.53</v>
      </c>
      <c r="C27">
        <v>678</v>
      </c>
      <c r="D27">
        <v>233</v>
      </c>
      <c r="E27">
        <v>13</v>
      </c>
      <c r="F27">
        <v>112</v>
      </c>
      <c r="G27">
        <v>278</v>
      </c>
      <c r="H27">
        <v>20</v>
      </c>
      <c r="I27">
        <v>12</v>
      </c>
      <c r="J27">
        <v>48</v>
      </c>
      <c r="L27">
        <v>65</v>
      </c>
      <c r="M27">
        <v>13</v>
      </c>
      <c r="N27">
        <v>2</v>
      </c>
      <c r="O27">
        <v>17</v>
      </c>
      <c r="Q27">
        <v>133</v>
      </c>
      <c r="R27">
        <v>7</v>
      </c>
      <c r="S27">
        <v>2</v>
      </c>
      <c r="T27">
        <v>23</v>
      </c>
      <c r="V27">
        <f>C27+L27-Q27</f>
        <v>610</v>
      </c>
      <c r="W27">
        <f>D27+M27-R27</f>
        <v>239</v>
      </c>
      <c r="X27">
        <f>E27+N27-S27</f>
        <v>13</v>
      </c>
      <c r="Y27">
        <f>F27+O27-T27</f>
        <v>106</v>
      </c>
      <c r="AA27">
        <f>G27-L27+Q27</f>
        <v>346</v>
      </c>
      <c r="AB27">
        <f>H27-M27+R27</f>
        <v>14</v>
      </c>
      <c r="AC27">
        <f>I27-N27+S27</f>
        <v>12</v>
      </c>
      <c r="AD27">
        <f>J27-O27+T27</f>
        <v>54</v>
      </c>
      <c r="AF27">
        <f>V27-V26</f>
        <v>50</v>
      </c>
      <c r="AG27">
        <f>W27-W26</f>
        <v>17</v>
      </c>
      <c r="AH27">
        <f>X27-X26</f>
        <v>1</v>
      </c>
      <c r="AI27">
        <f>Y27-Y26</f>
        <v>8</v>
      </c>
      <c r="AK27">
        <f>AA27-AA26</f>
        <v>21</v>
      </c>
      <c r="AL27">
        <f>AB27-AB26</f>
        <v>-2</v>
      </c>
      <c r="AM27">
        <f>AC27-AC26</f>
        <v>0</v>
      </c>
      <c r="AN27">
        <f>AD27-AD26</f>
        <v>3</v>
      </c>
      <c r="AP27">
        <f t="shared" si="19"/>
        <v>59</v>
      </c>
      <c r="AQ27">
        <f t="shared" si="20"/>
        <v>24</v>
      </c>
      <c r="AS27">
        <f t="shared" si="23"/>
        <v>61</v>
      </c>
      <c r="AT27">
        <f t="shared" si="24"/>
        <v>22</v>
      </c>
      <c r="AV27">
        <f t="shared" si="21"/>
        <v>-2</v>
      </c>
      <c r="AW27">
        <f t="shared" si="22"/>
        <v>2</v>
      </c>
    </row>
    <row r="28" spans="1:49">
      <c r="A28" s="1">
        <v>46110.171770833331</v>
      </c>
      <c r="B28">
        <v>840.57</v>
      </c>
      <c r="C28">
        <v>727</v>
      </c>
      <c r="D28">
        <v>246</v>
      </c>
      <c r="E28">
        <v>13</v>
      </c>
      <c r="F28">
        <v>122</v>
      </c>
      <c r="G28">
        <v>300</v>
      </c>
      <c r="H28">
        <v>22</v>
      </c>
      <c r="I28">
        <v>14</v>
      </c>
      <c r="J28">
        <v>50</v>
      </c>
      <c r="L28">
        <v>67</v>
      </c>
      <c r="M28">
        <v>13</v>
      </c>
      <c r="N28">
        <v>3</v>
      </c>
      <c r="O28">
        <v>19</v>
      </c>
      <c r="Q28">
        <v>139</v>
      </c>
      <c r="R28">
        <v>7</v>
      </c>
      <c r="S28">
        <v>3</v>
      </c>
      <c r="T28">
        <v>25</v>
      </c>
      <c r="V28">
        <f>C28+L28-Q28</f>
        <v>655</v>
      </c>
      <c r="W28">
        <f>D28+M28-R28</f>
        <v>252</v>
      </c>
      <c r="X28">
        <f>E28+N28-S28</f>
        <v>13</v>
      </c>
      <c r="Y28">
        <f>F28+O28-T28</f>
        <v>116</v>
      </c>
      <c r="AA28">
        <f>G28-L28+Q28</f>
        <v>372</v>
      </c>
      <c r="AB28">
        <f>H28-M28+R28</f>
        <v>16</v>
      </c>
      <c r="AC28">
        <f>I28-N28+S28</f>
        <v>14</v>
      </c>
      <c r="AD28">
        <f>J28-O28+T28</f>
        <v>56</v>
      </c>
      <c r="AF28">
        <f>V28-V27</f>
        <v>45</v>
      </c>
      <c r="AG28">
        <f>W28-W27</f>
        <v>13</v>
      </c>
      <c r="AH28">
        <f>X28-X27</f>
        <v>0</v>
      </c>
      <c r="AI28">
        <f>Y28-Y27</f>
        <v>10</v>
      </c>
      <c r="AK28">
        <f>AA28-AA27</f>
        <v>26</v>
      </c>
      <c r="AL28">
        <f>AB28-AB27</f>
        <v>2</v>
      </c>
      <c r="AM28">
        <f>AC28-AC27</f>
        <v>2</v>
      </c>
      <c r="AN28">
        <f>AD28-AD27</f>
        <v>2</v>
      </c>
      <c r="AP28">
        <f t="shared" si="19"/>
        <v>55</v>
      </c>
      <c r="AQ28">
        <f t="shared" si="20"/>
        <v>30</v>
      </c>
      <c r="AS28">
        <f t="shared" si="23"/>
        <v>59</v>
      </c>
      <c r="AT28">
        <f t="shared" si="24"/>
        <v>26</v>
      </c>
      <c r="AV28">
        <f t="shared" si="21"/>
        <v>-4</v>
      </c>
      <c r="AW28">
        <f t="shared" si="22"/>
        <v>4</v>
      </c>
    </row>
    <row r="29" spans="1:49">
      <c r="A29" s="1">
        <v>46110.174861111111</v>
      </c>
      <c r="B29">
        <v>900.61</v>
      </c>
      <c r="C29">
        <v>776</v>
      </c>
      <c r="D29">
        <v>262</v>
      </c>
      <c r="E29">
        <v>13</v>
      </c>
      <c r="F29">
        <v>135</v>
      </c>
      <c r="G29">
        <v>323</v>
      </c>
      <c r="H29">
        <v>23</v>
      </c>
      <c r="I29">
        <v>15</v>
      </c>
      <c r="J29">
        <v>55</v>
      </c>
      <c r="L29">
        <v>70</v>
      </c>
      <c r="M29">
        <v>13</v>
      </c>
      <c r="N29">
        <v>5</v>
      </c>
      <c r="O29">
        <v>21</v>
      </c>
      <c r="Q29">
        <v>150</v>
      </c>
      <c r="R29">
        <v>7</v>
      </c>
      <c r="S29">
        <v>3</v>
      </c>
      <c r="T29">
        <v>26</v>
      </c>
      <c r="V29">
        <f>C29+L29-Q29</f>
        <v>696</v>
      </c>
      <c r="W29">
        <f>D29+M29-R29</f>
        <v>268</v>
      </c>
      <c r="X29">
        <f>E29+N29-S29</f>
        <v>15</v>
      </c>
      <c r="Y29">
        <f>F29+O29-T29</f>
        <v>130</v>
      </c>
      <c r="AA29">
        <f>G29-L29+Q29</f>
        <v>403</v>
      </c>
      <c r="AB29">
        <f>H29-M29+R29</f>
        <v>17</v>
      </c>
      <c r="AC29">
        <f>I29-N29+S29</f>
        <v>13</v>
      </c>
      <c r="AD29">
        <f>J29-O29+T29</f>
        <v>60</v>
      </c>
      <c r="AF29">
        <f>V29-V28</f>
        <v>41</v>
      </c>
      <c r="AG29">
        <f>W29-W28</f>
        <v>16</v>
      </c>
      <c r="AH29">
        <f>X29-X28</f>
        <v>2</v>
      </c>
      <c r="AI29">
        <f>Y29-Y28</f>
        <v>14</v>
      </c>
      <c r="AK29">
        <f>AA29-AA28</f>
        <v>31</v>
      </c>
      <c r="AL29">
        <f>AB29-AB28</f>
        <v>1</v>
      </c>
      <c r="AM29">
        <f>AC29-AC28</f>
        <v>-1</v>
      </c>
      <c r="AN29">
        <f>AD29-AD28</f>
        <v>4</v>
      </c>
      <c r="AP29">
        <f t="shared" si="19"/>
        <v>57</v>
      </c>
      <c r="AQ29">
        <f t="shared" si="20"/>
        <v>34</v>
      </c>
      <c r="AS29">
        <f t="shared" si="23"/>
        <v>62</v>
      </c>
      <c r="AT29">
        <f t="shared" si="24"/>
        <v>29</v>
      </c>
      <c r="AV29">
        <f t="shared" si="21"/>
        <v>-5</v>
      </c>
      <c r="AW29">
        <f t="shared" si="22"/>
        <v>5</v>
      </c>
    </row>
    <row r="30" spans="1:49">
      <c r="A30" s="1">
        <v>46110.17800925926</v>
      </c>
      <c r="B30">
        <v>960.65</v>
      </c>
      <c r="C30">
        <v>836</v>
      </c>
      <c r="D30">
        <v>280</v>
      </c>
      <c r="E30">
        <v>14</v>
      </c>
      <c r="F30">
        <v>148</v>
      </c>
      <c r="G30">
        <v>338</v>
      </c>
      <c r="H30">
        <v>24</v>
      </c>
      <c r="I30">
        <v>18</v>
      </c>
      <c r="J30">
        <v>64</v>
      </c>
      <c r="L30">
        <v>79</v>
      </c>
      <c r="M30">
        <v>13</v>
      </c>
      <c r="N30">
        <v>5</v>
      </c>
      <c r="O30">
        <v>23</v>
      </c>
      <c r="Q30">
        <v>162</v>
      </c>
      <c r="R30">
        <v>7</v>
      </c>
      <c r="S30">
        <v>3</v>
      </c>
      <c r="T30">
        <v>30</v>
      </c>
      <c r="V30">
        <f>C30+L30-Q30</f>
        <v>753</v>
      </c>
      <c r="W30">
        <f>D30+M30-R30</f>
        <v>286</v>
      </c>
      <c r="X30">
        <f>E30+N30-S30</f>
        <v>16</v>
      </c>
      <c r="Y30">
        <f>F30+O30-T30</f>
        <v>141</v>
      </c>
      <c r="AA30">
        <f>G30-L30+Q30</f>
        <v>421</v>
      </c>
      <c r="AB30">
        <f>H30-M30+R30</f>
        <v>18</v>
      </c>
      <c r="AC30">
        <f>I30-N30+S30</f>
        <v>16</v>
      </c>
      <c r="AD30">
        <f>J30-O30+T30</f>
        <v>71</v>
      </c>
      <c r="AF30">
        <f>V30-V29</f>
        <v>57</v>
      </c>
      <c r="AG30">
        <f>W30-W29</f>
        <v>18</v>
      </c>
      <c r="AH30">
        <f>X30-X29</f>
        <v>1</v>
      </c>
      <c r="AI30">
        <f>Y30-Y29</f>
        <v>11</v>
      </c>
      <c r="AK30">
        <f>AA30-AA29</f>
        <v>18</v>
      </c>
      <c r="AL30">
        <f>AB30-AB29</f>
        <v>1</v>
      </c>
      <c r="AM30">
        <f>AC30-AC29</f>
        <v>3</v>
      </c>
      <c r="AN30">
        <f>AD30-AD29</f>
        <v>11</v>
      </c>
      <c r="AP30">
        <f t="shared" si="19"/>
        <v>69</v>
      </c>
      <c r="AQ30">
        <f t="shared" si="20"/>
        <v>32</v>
      </c>
      <c r="AS30">
        <f t="shared" si="23"/>
        <v>74</v>
      </c>
      <c r="AT30">
        <f t="shared" si="24"/>
        <v>27</v>
      </c>
      <c r="AV30">
        <f t="shared" si="21"/>
        <v>-5</v>
      </c>
      <c r="AW30">
        <f t="shared" si="22"/>
        <v>5</v>
      </c>
    </row>
    <row r="31" spans="1:49">
      <c r="A31" s="1">
        <v>46110.181145833332</v>
      </c>
      <c r="B31">
        <v>1020.69</v>
      </c>
      <c r="C31">
        <v>893</v>
      </c>
      <c r="D31">
        <v>296</v>
      </c>
      <c r="E31">
        <v>14</v>
      </c>
      <c r="F31">
        <v>156</v>
      </c>
      <c r="G31">
        <v>353</v>
      </c>
      <c r="H31">
        <v>27</v>
      </c>
      <c r="I31">
        <v>18</v>
      </c>
      <c r="J31">
        <v>68</v>
      </c>
      <c r="L31">
        <v>86</v>
      </c>
      <c r="M31">
        <v>17</v>
      </c>
      <c r="N31">
        <v>5</v>
      </c>
      <c r="O31">
        <v>24</v>
      </c>
      <c r="Q31">
        <v>170</v>
      </c>
      <c r="R31">
        <v>9</v>
      </c>
      <c r="S31">
        <v>3</v>
      </c>
      <c r="T31">
        <v>30</v>
      </c>
      <c r="V31">
        <f>C31+L31-Q31</f>
        <v>809</v>
      </c>
      <c r="W31">
        <f>D31+M31-R31</f>
        <v>304</v>
      </c>
      <c r="X31">
        <f>E31+N31-S31</f>
        <v>16</v>
      </c>
      <c r="Y31">
        <f>F31+O31-T31</f>
        <v>150</v>
      </c>
      <c r="AA31">
        <f>G31-L31+Q31</f>
        <v>437</v>
      </c>
      <c r="AB31">
        <f>H31-M31+R31</f>
        <v>19</v>
      </c>
      <c r="AC31">
        <f>I31-N31+S31</f>
        <v>16</v>
      </c>
      <c r="AD31">
        <f>J31-O31+T31</f>
        <v>74</v>
      </c>
      <c r="AF31">
        <f>V31-V30</f>
        <v>56</v>
      </c>
      <c r="AG31">
        <f>W31-W30</f>
        <v>18</v>
      </c>
      <c r="AH31">
        <f>X31-X30</f>
        <v>0</v>
      </c>
      <c r="AI31">
        <f>Y31-Y30</f>
        <v>9</v>
      </c>
      <c r="AK31">
        <f>AA31-AA30</f>
        <v>16</v>
      </c>
      <c r="AL31">
        <f>AB31-AB30</f>
        <v>1</v>
      </c>
      <c r="AM31">
        <f>AC31-AC30</f>
        <v>0</v>
      </c>
      <c r="AN31">
        <f>AD31-AD30</f>
        <v>3</v>
      </c>
      <c r="AP31">
        <f t="shared" si="19"/>
        <v>65</v>
      </c>
      <c r="AQ31">
        <f t="shared" si="20"/>
        <v>19</v>
      </c>
      <c r="AS31">
        <f t="shared" si="23"/>
        <v>65</v>
      </c>
      <c r="AT31">
        <f t="shared" si="24"/>
        <v>19</v>
      </c>
      <c r="AV31">
        <f t="shared" si="21"/>
        <v>0</v>
      </c>
      <c r="AW31">
        <f t="shared" si="22"/>
        <v>0</v>
      </c>
    </row>
    <row r="32" spans="1:49">
      <c r="A32" s="1">
        <v>46110.184178240743</v>
      </c>
      <c r="B32">
        <v>1080.73</v>
      </c>
      <c r="C32">
        <v>934</v>
      </c>
      <c r="D32">
        <v>317</v>
      </c>
      <c r="E32">
        <v>18</v>
      </c>
      <c r="F32">
        <v>173</v>
      </c>
      <c r="G32">
        <v>372</v>
      </c>
      <c r="H32">
        <v>27</v>
      </c>
      <c r="I32">
        <v>21</v>
      </c>
      <c r="J32">
        <v>69</v>
      </c>
      <c r="L32">
        <v>98</v>
      </c>
      <c r="M32">
        <v>17</v>
      </c>
      <c r="N32">
        <v>5</v>
      </c>
      <c r="O32">
        <v>25</v>
      </c>
      <c r="Q32">
        <v>179</v>
      </c>
      <c r="R32">
        <v>9</v>
      </c>
      <c r="S32">
        <v>3</v>
      </c>
      <c r="T32">
        <v>30</v>
      </c>
      <c r="V32">
        <f>C32+L32-Q32</f>
        <v>853</v>
      </c>
      <c r="W32">
        <f>D32+M32-R32</f>
        <v>325</v>
      </c>
      <c r="X32">
        <f>E32+N32-S32</f>
        <v>20</v>
      </c>
      <c r="Y32">
        <f>F32+O32-T32</f>
        <v>168</v>
      </c>
      <c r="AA32">
        <f>G32-L32+Q32</f>
        <v>453</v>
      </c>
      <c r="AB32">
        <f>H32-M32+R32</f>
        <v>19</v>
      </c>
      <c r="AC32">
        <f>I32-N32+S32</f>
        <v>19</v>
      </c>
      <c r="AD32">
        <f>J32-O32+T32</f>
        <v>74</v>
      </c>
      <c r="AF32">
        <f>V32-V31</f>
        <v>44</v>
      </c>
      <c r="AG32">
        <f>W32-W31</f>
        <v>21</v>
      </c>
      <c r="AH32">
        <f>X32-X31</f>
        <v>4</v>
      </c>
      <c r="AI32">
        <f>Y32-Y31</f>
        <v>18</v>
      </c>
      <c r="AK32">
        <f>AA32-AA31</f>
        <v>16</v>
      </c>
      <c r="AL32">
        <f>AB32-AB31</f>
        <v>0</v>
      </c>
      <c r="AM32">
        <f>AC32-AC31</f>
        <v>3</v>
      </c>
      <c r="AN32">
        <f>AD32-AD31</f>
        <v>0</v>
      </c>
      <c r="AP32">
        <f t="shared" si="19"/>
        <v>66</v>
      </c>
      <c r="AQ32">
        <f t="shared" si="20"/>
        <v>19</v>
      </c>
      <c r="AS32">
        <f t="shared" si="23"/>
        <v>62</v>
      </c>
      <c r="AT32">
        <f t="shared" si="24"/>
        <v>23</v>
      </c>
      <c r="AV32">
        <f t="shared" si="21"/>
        <v>4</v>
      </c>
      <c r="AW32">
        <f t="shared" si="22"/>
        <v>-4</v>
      </c>
    </row>
    <row r="33" spans="1:49">
      <c r="A33" s="1">
        <v>46110.187407407408</v>
      </c>
      <c r="B33">
        <v>1140.77</v>
      </c>
      <c r="C33">
        <v>978</v>
      </c>
      <c r="D33">
        <v>325</v>
      </c>
      <c r="E33">
        <v>19</v>
      </c>
      <c r="F33">
        <v>185</v>
      </c>
      <c r="G33">
        <v>397</v>
      </c>
      <c r="H33">
        <v>28</v>
      </c>
      <c r="I33">
        <v>21</v>
      </c>
      <c r="J33">
        <v>70</v>
      </c>
      <c r="L33">
        <v>109</v>
      </c>
      <c r="M33">
        <v>17</v>
      </c>
      <c r="N33">
        <v>5</v>
      </c>
      <c r="O33">
        <v>26</v>
      </c>
      <c r="Q33">
        <v>191</v>
      </c>
      <c r="R33">
        <v>9</v>
      </c>
      <c r="S33">
        <v>3</v>
      </c>
      <c r="T33">
        <v>32</v>
      </c>
      <c r="V33">
        <f>C33+L33-Q33</f>
        <v>896</v>
      </c>
      <c r="W33">
        <f>D33+M33-R33</f>
        <v>333</v>
      </c>
      <c r="X33">
        <f>E33+N33-S33</f>
        <v>21</v>
      </c>
      <c r="Y33">
        <f>F33+O33-T33</f>
        <v>179</v>
      </c>
      <c r="AA33">
        <f>G33-L33+Q33</f>
        <v>479</v>
      </c>
      <c r="AB33">
        <f>H33-M33+R33</f>
        <v>20</v>
      </c>
      <c r="AC33">
        <f>I33-N33+S33</f>
        <v>19</v>
      </c>
      <c r="AD33">
        <f>J33-O33+T33</f>
        <v>76</v>
      </c>
      <c r="AF33">
        <f>V33-V32</f>
        <v>43</v>
      </c>
      <c r="AG33">
        <f>W33-W32</f>
        <v>8</v>
      </c>
      <c r="AH33">
        <f>X33-X32</f>
        <v>1</v>
      </c>
      <c r="AI33">
        <f>Y33-Y32</f>
        <v>11</v>
      </c>
      <c r="AK33">
        <f>AA33-AA32</f>
        <v>26</v>
      </c>
      <c r="AL33">
        <f>AB33-AB32</f>
        <v>1</v>
      </c>
      <c r="AM33">
        <f>AC33-AC32</f>
        <v>0</v>
      </c>
      <c r="AN33">
        <f>AD33-AD32</f>
        <v>2</v>
      </c>
      <c r="AP33">
        <f t="shared" si="19"/>
        <v>55</v>
      </c>
      <c r="AQ33">
        <f t="shared" si="20"/>
        <v>28</v>
      </c>
      <c r="AS33">
        <f t="shared" si="23"/>
        <v>57</v>
      </c>
      <c r="AT33">
        <f t="shared" si="24"/>
        <v>26</v>
      </c>
      <c r="AV33">
        <f t="shared" si="21"/>
        <v>-2</v>
      </c>
      <c r="AW33">
        <f t="shared" si="22"/>
        <v>2</v>
      </c>
    </row>
    <row r="34" spans="1:49">
      <c r="A34" s="1">
        <v>46110.190439814818</v>
      </c>
      <c r="B34">
        <v>1200.81</v>
      </c>
      <c r="C34">
        <v>1020</v>
      </c>
      <c r="D34">
        <v>352</v>
      </c>
      <c r="E34">
        <v>22</v>
      </c>
      <c r="F34">
        <v>190</v>
      </c>
      <c r="G34">
        <v>418</v>
      </c>
      <c r="H34">
        <v>33</v>
      </c>
      <c r="I34">
        <v>23</v>
      </c>
      <c r="J34">
        <v>73</v>
      </c>
      <c r="L34">
        <v>112</v>
      </c>
      <c r="M34">
        <v>17</v>
      </c>
      <c r="N34">
        <v>5</v>
      </c>
      <c r="O34">
        <v>26</v>
      </c>
      <c r="Q34">
        <v>214</v>
      </c>
      <c r="R34">
        <v>9</v>
      </c>
      <c r="S34">
        <v>3</v>
      </c>
      <c r="T34">
        <v>35</v>
      </c>
      <c r="V34">
        <f>C34+L34-Q34</f>
        <v>918</v>
      </c>
      <c r="W34">
        <f>D34+M34-R34</f>
        <v>360</v>
      </c>
      <c r="X34">
        <f>E34+N34-S34</f>
        <v>24</v>
      </c>
      <c r="Y34">
        <f>F34+O34-T34</f>
        <v>181</v>
      </c>
      <c r="AA34">
        <f>G34-L34+Q34</f>
        <v>520</v>
      </c>
      <c r="AB34">
        <f>H34-M34+R34</f>
        <v>25</v>
      </c>
      <c r="AC34">
        <f>I34-N34+S34</f>
        <v>21</v>
      </c>
      <c r="AD34">
        <f>J34-O34+T34</f>
        <v>82</v>
      </c>
      <c r="AF34">
        <f>V34-V33</f>
        <v>22</v>
      </c>
      <c r="AG34">
        <f>W34-W33</f>
        <v>27</v>
      </c>
      <c r="AH34">
        <f>X34-X33</f>
        <v>3</v>
      </c>
      <c r="AI34">
        <f>Y34-Y33</f>
        <v>2</v>
      </c>
      <c r="AK34">
        <f>AA34-AA33</f>
        <v>41</v>
      </c>
      <c r="AL34">
        <f>AB34-AB33</f>
        <v>5</v>
      </c>
      <c r="AM34">
        <f>AC34-AC33</f>
        <v>2</v>
      </c>
      <c r="AN34">
        <f>AD34-AD33</f>
        <v>6</v>
      </c>
      <c r="AP34">
        <f t="shared" si="19"/>
        <v>27</v>
      </c>
      <c r="AQ34">
        <f t="shared" si="20"/>
        <v>49</v>
      </c>
      <c r="AS34">
        <f t="shared" si="23"/>
        <v>50</v>
      </c>
      <c r="AT34">
        <f t="shared" si="24"/>
        <v>26</v>
      </c>
      <c r="AV34">
        <f t="shared" si="21"/>
        <v>-23</v>
      </c>
      <c r="AW34">
        <f t="shared" si="22"/>
        <v>23</v>
      </c>
    </row>
    <row r="35" spans="1:49">
      <c r="A35" s="1">
        <v>46110.193449074075</v>
      </c>
      <c r="B35">
        <v>1260.8499999999999</v>
      </c>
      <c r="C35">
        <v>1073</v>
      </c>
      <c r="D35">
        <v>370</v>
      </c>
      <c r="E35">
        <v>24</v>
      </c>
      <c r="F35">
        <v>198</v>
      </c>
      <c r="G35">
        <v>438</v>
      </c>
      <c r="H35">
        <v>33</v>
      </c>
      <c r="I35">
        <v>25</v>
      </c>
      <c r="J35">
        <v>80</v>
      </c>
      <c r="L35">
        <v>117</v>
      </c>
      <c r="M35">
        <v>17</v>
      </c>
      <c r="N35">
        <v>5</v>
      </c>
      <c r="O35">
        <v>33</v>
      </c>
      <c r="Q35">
        <v>225</v>
      </c>
      <c r="R35">
        <v>10</v>
      </c>
      <c r="S35">
        <v>3</v>
      </c>
      <c r="T35">
        <v>36</v>
      </c>
      <c r="V35">
        <f>C35+L35-Q35</f>
        <v>965</v>
      </c>
      <c r="W35">
        <f>D35+M35-R35</f>
        <v>377</v>
      </c>
      <c r="X35">
        <f>E35+N35-S35</f>
        <v>26</v>
      </c>
      <c r="Y35">
        <f>F35+O35-T35</f>
        <v>195</v>
      </c>
      <c r="AA35">
        <f>G35-L35+Q35</f>
        <v>546</v>
      </c>
      <c r="AB35">
        <f>H35-M35+R35</f>
        <v>26</v>
      </c>
      <c r="AC35">
        <f>I35-N35+S35</f>
        <v>23</v>
      </c>
      <c r="AD35">
        <f>J35-O35+T35</f>
        <v>83</v>
      </c>
      <c r="AF35">
        <f>V35-V34</f>
        <v>47</v>
      </c>
      <c r="AG35">
        <f>W35-W34</f>
        <v>17</v>
      </c>
      <c r="AH35">
        <f>X35-X34</f>
        <v>2</v>
      </c>
      <c r="AI35">
        <f>Y35-Y34</f>
        <v>14</v>
      </c>
      <c r="AK35">
        <f>AA35-AA34</f>
        <v>26</v>
      </c>
      <c r="AL35">
        <f>AB35-AB34</f>
        <v>1</v>
      </c>
      <c r="AM35">
        <f>AC35-AC34</f>
        <v>2</v>
      </c>
      <c r="AN35">
        <f>AD35-AD34</f>
        <v>1</v>
      </c>
      <c r="AP35">
        <f t="shared" si="19"/>
        <v>63</v>
      </c>
      <c r="AQ35">
        <f t="shared" si="20"/>
        <v>29</v>
      </c>
      <c r="AS35">
        <f t="shared" si="23"/>
        <v>63</v>
      </c>
      <c r="AT35">
        <f t="shared" si="24"/>
        <v>29</v>
      </c>
      <c r="AV35">
        <f t="shared" si="21"/>
        <v>0</v>
      </c>
      <c r="AW35">
        <f t="shared" si="22"/>
        <v>0</v>
      </c>
    </row>
    <row r="36" spans="1:49">
      <c r="A36" s="1">
        <v>46110.196446759262</v>
      </c>
      <c r="B36">
        <v>1320.89</v>
      </c>
      <c r="C36">
        <v>1120</v>
      </c>
      <c r="D36">
        <v>388</v>
      </c>
      <c r="E36">
        <v>24</v>
      </c>
      <c r="F36">
        <v>211</v>
      </c>
      <c r="G36">
        <v>462</v>
      </c>
      <c r="H36">
        <v>37</v>
      </c>
      <c r="I36">
        <v>25</v>
      </c>
      <c r="J36">
        <v>86</v>
      </c>
      <c r="L36">
        <v>130</v>
      </c>
      <c r="M36">
        <v>18</v>
      </c>
      <c r="N36">
        <v>5</v>
      </c>
      <c r="O36">
        <v>35</v>
      </c>
      <c r="Q36">
        <v>243</v>
      </c>
      <c r="R36">
        <v>10</v>
      </c>
      <c r="S36">
        <v>3</v>
      </c>
      <c r="T36">
        <v>37</v>
      </c>
      <c r="V36">
        <f>C36+L36-Q36</f>
        <v>1007</v>
      </c>
      <c r="W36">
        <f>D36+M36-R36</f>
        <v>396</v>
      </c>
      <c r="X36">
        <f>E36+N36-S36</f>
        <v>26</v>
      </c>
      <c r="Y36">
        <f>F36+O36-T36</f>
        <v>209</v>
      </c>
      <c r="AA36">
        <f>G36-L36+Q36</f>
        <v>575</v>
      </c>
      <c r="AB36">
        <f>H36-M36+R36</f>
        <v>29</v>
      </c>
      <c r="AC36">
        <f>I36-N36+S36</f>
        <v>23</v>
      </c>
      <c r="AD36">
        <f>J36-O36+T36</f>
        <v>88</v>
      </c>
      <c r="AF36">
        <f>V36-V35</f>
        <v>42</v>
      </c>
      <c r="AG36">
        <f>W36-W35</f>
        <v>19</v>
      </c>
      <c r="AH36">
        <f>X36-X35</f>
        <v>0</v>
      </c>
      <c r="AI36">
        <f>Y36-Y35</f>
        <v>14</v>
      </c>
      <c r="AK36">
        <f>AA36-AA35</f>
        <v>29</v>
      </c>
      <c r="AL36">
        <f>AB36-AB35</f>
        <v>3</v>
      </c>
      <c r="AM36">
        <f>AC36-AC35</f>
        <v>0</v>
      </c>
      <c r="AN36">
        <f>AD36-AD35</f>
        <v>5</v>
      </c>
      <c r="AP36">
        <f t="shared" si="19"/>
        <v>56</v>
      </c>
      <c r="AQ36">
        <f t="shared" si="20"/>
        <v>34</v>
      </c>
      <c r="AS36">
        <f t="shared" si="23"/>
        <v>60</v>
      </c>
      <c r="AT36">
        <f t="shared" si="24"/>
        <v>30</v>
      </c>
      <c r="AV36">
        <f t="shared" si="21"/>
        <v>-4</v>
      </c>
      <c r="AW36">
        <f t="shared" si="22"/>
        <v>4</v>
      </c>
    </row>
    <row r="37" spans="1:49">
      <c r="A37" s="1">
        <v>46110.199525462966</v>
      </c>
      <c r="B37">
        <v>1380.94</v>
      </c>
      <c r="C37">
        <v>1162</v>
      </c>
      <c r="D37">
        <v>407</v>
      </c>
      <c r="E37">
        <v>24</v>
      </c>
      <c r="F37">
        <v>222</v>
      </c>
      <c r="G37">
        <v>488</v>
      </c>
      <c r="H37">
        <v>38</v>
      </c>
      <c r="I37">
        <v>25</v>
      </c>
      <c r="J37">
        <v>87</v>
      </c>
      <c r="L37">
        <v>140</v>
      </c>
      <c r="M37">
        <v>18</v>
      </c>
      <c r="N37">
        <v>5</v>
      </c>
      <c r="O37">
        <v>37</v>
      </c>
      <c r="Q37">
        <v>260</v>
      </c>
      <c r="R37">
        <v>10</v>
      </c>
      <c r="S37">
        <v>3</v>
      </c>
      <c r="T37">
        <v>41</v>
      </c>
      <c r="V37">
        <f>C37+L37-Q37</f>
        <v>1042</v>
      </c>
      <c r="W37">
        <f>D37+M37-R37</f>
        <v>415</v>
      </c>
      <c r="X37">
        <f>E37+N37-S37</f>
        <v>26</v>
      </c>
      <c r="Y37">
        <f>F37+O37-T37</f>
        <v>218</v>
      </c>
      <c r="AA37">
        <f>G37-L37+Q37</f>
        <v>608</v>
      </c>
      <c r="AB37">
        <f>H37-M37+R37</f>
        <v>30</v>
      </c>
      <c r="AC37">
        <f>I37-N37+S37</f>
        <v>23</v>
      </c>
      <c r="AD37">
        <f>J37-O37+T37</f>
        <v>91</v>
      </c>
      <c r="AF37">
        <f>V37-V36</f>
        <v>35</v>
      </c>
      <c r="AG37">
        <f>W37-W36</f>
        <v>19</v>
      </c>
      <c r="AH37">
        <f>X37-X36</f>
        <v>0</v>
      </c>
      <c r="AI37">
        <f>Y37-Y36</f>
        <v>9</v>
      </c>
      <c r="AK37">
        <f>AA37-AA36</f>
        <v>33</v>
      </c>
      <c r="AL37">
        <f>AB37-AB36</f>
        <v>1</v>
      </c>
      <c r="AM37">
        <f>AC37-AC36</f>
        <v>0</v>
      </c>
      <c r="AN37">
        <f>AD37-AD36</f>
        <v>3</v>
      </c>
      <c r="AP37">
        <f t="shared" si="19"/>
        <v>44</v>
      </c>
      <c r="AQ37">
        <f t="shared" si="20"/>
        <v>36</v>
      </c>
      <c r="AS37">
        <f t="shared" si="23"/>
        <v>53</v>
      </c>
      <c r="AT37">
        <f t="shared" si="24"/>
        <v>27</v>
      </c>
      <c r="AV37">
        <f t="shared" si="21"/>
        <v>-9</v>
      </c>
      <c r="AW37">
        <f t="shared" si="22"/>
        <v>9</v>
      </c>
    </row>
    <row r="38" spans="1:49">
      <c r="A38" s="1">
        <v>46110.202731481484</v>
      </c>
      <c r="B38">
        <v>1440.98</v>
      </c>
      <c r="C38">
        <v>1203</v>
      </c>
      <c r="D38">
        <v>427</v>
      </c>
      <c r="E38">
        <v>24</v>
      </c>
      <c r="F38">
        <v>242</v>
      </c>
      <c r="G38">
        <v>508</v>
      </c>
      <c r="H38">
        <v>39</v>
      </c>
      <c r="I38">
        <v>26</v>
      </c>
      <c r="J38">
        <v>91</v>
      </c>
      <c r="L38">
        <v>150</v>
      </c>
      <c r="M38">
        <v>18</v>
      </c>
      <c r="N38">
        <v>5</v>
      </c>
      <c r="O38">
        <v>38</v>
      </c>
      <c r="Q38">
        <v>273</v>
      </c>
      <c r="R38">
        <v>10</v>
      </c>
      <c r="S38">
        <v>3</v>
      </c>
      <c r="T38">
        <v>44</v>
      </c>
      <c r="V38">
        <f>C38+L38-Q38</f>
        <v>1080</v>
      </c>
      <c r="W38">
        <f>D38+M38-R38</f>
        <v>435</v>
      </c>
      <c r="X38">
        <f>E38+N38-S38</f>
        <v>26</v>
      </c>
      <c r="Y38">
        <f>F38+O38-T38</f>
        <v>236</v>
      </c>
      <c r="AA38">
        <f>G38-L38+Q38</f>
        <v>631</v>
      </c>
      <c r="AB38">
        <f>H38-M38+R38</f>
        <v>31</v>
      </c>
      <c r="AC38">
        <f>I38-N38+S38</f>
        <v>24</v>
      </c>
      <c r="AD38">
        <f>J38-O38+T38</f>
        <v>97</v>
      </c>
      <c r="AF38">
        <f>V38-V37</f>
        <v>38</v>
      </c>
      <c r="AG38">
        <f>W38-W37</f>
        <v>20</v>
      </c>
      <c r="AH38">
        <f>X38-X37</f>
        <v>0</v>
      </c>
      <c r="AI38">
        <f>Y38-Y37</f>
        <v>18</v>
      </c>
      <c r="AK38">
        <f>AA38-AA37</f>
        <v>23</v>
      </c>
      <c r="AL38">
        <f>AB38-AB37</f>
        <v>1</v>
      </c>
      <c r="AM38">
        <f>AC38-AC37</f>
        <v>1</v>
      </c>
      <c r="AN38">
        <f>AD38-AD37</f>
        <v>6</v>
      </c>
      <c r="AP38">
        <f t="shared" si="19"/>
        <v>56</v>
      </c>
      <c r="AQ38">
        <f t="shared" si="20"/>
        <v>30</v>
      </c>
      <c r="AS38">
        <f t="shared" si="23"/>
        <v>61</v>
      </c>
      <c r="AT38">
        <f t="shared" si="24"/>
        <v>25</v>
      </c>
      <c r="AV38">
        <f t="shared" si="21"/>
        <v>-5</v>
      </c>
      <c r="AW38">
        <f t="shared" si="22"/>
        <v>5</v>
      </c>
    </row>
    <row r="39" spans="1:49">
      <c r="A39" s="1">
        <v>46110.205775462964</v>
      </c>
      <c r="B39">
        <v>1501.02</v>
      </c>
      <c r="C39">
        <v>1253</v>
      </c>
      <c r="D39">
        <v>440</v>
      </c>
      <c r="E39">
        <v>24</v>
      </c>
      <c r="F39">
        <v>256</v>
      </c>
      <c r="G39">
        <v>525</v>
      </c>
      <c r="H39">
        <v>41</v>
      </c>
      <c r="I39">
        <v>27</v>
      </c>
      <c r="J39">
        <v>93</v>
      </c>
      <c r="L39">
        <v>153</v>
      </c>
      <c r="M39">
        <v>19</v>
      </c>
      <c r="N39">
        <v>6</v>
      </c>
      <c r="O39">
        <v>38</v>
      </c>
      <c r="Q39">
        <v>281</v>
      </c>
      <c r="R39">
        <v>10</v>
      </c>
      <c r="S39">
        <v>3</v>
      </c>
      <c r="T39">
        <v>46</v>
      </c>
      <c r="V39">
        <f>C39+L39-Q39</f>
        <v>1125</v>
      </c>
      <c r="W39">
        <f>D39+M39-R39</f>
        <v>449</v>
      </c>
      <c r="X39">
        <f>E39+N39-S39</f>
        <v>27</v>
      </c>
      <c r="Y39">
        <f>F39+O39-T39</f>
        <v>248</v>
      </c>
      <c r="AA39">
        <f>G39-L39+Q39</f>
        <v>653</v>
      </c>
      <c r="AB39">
        <f>H39-M39+R39</f>
        <v>32</v>
      </c>
      <c r="AC39">
        <f>I39-N39+S39</f>
        <v>24</v>
      </c>
      <c r="AD39">
        <f>J39-O39+T39</f>
        <v>101</v>
      </c>
      <c r="AF39">
        <f>V39-V38</f>
        <v>45</v>
      </c>
      <c r="AG39">
        <f>W39-W38</f>
        <v>14</v>
      </c>
      <c r="AH39">
        <f>X39-X38</f>
        <v>1</v>
      </c>
      <c r="AI39">
        <f>Y39-Y38</f>
        <v>12</v>
      </c>
      <c r="AK39">
        <f>AA39-AA38</f>
        <v>22</v>
      </c>
      <c r="AL39">
        <f>AB39-AB38</f>
        <v>1</v>
      </c>
      <c r="AM39">
        <f>AC39-AC38</f>
        <v>0</v>
      </c>
      <c r="AN39">
        <f>AD39-AD38</f>
        <v>4</v>
      </c>
      <c r="AP39">
        <f t="shared" si="19"/>
        <v>58</v>
      </c>
      <c r="AQ39">
        <f t="shared" si="20"/>
        <v>26</v>
      </c>
      <c r="AS39">
        <f t="shared" si="23"/>
        <v>64</v>
      </c>
      <c r="AT39">
        <f t="shared" si="24"/>
        <v>20</v>
      </c>
      <c r="AV39">
        <f t="shared" si="21"/>
        <v>-6</v>
      </c>
      <c r="AW39">
        <f t="shared" si="22"/>
        <v>6</v>
      </c>
    </row>
    <row r="40" spans="1:49">
      <c r="A40" s="1">
        <v>46110.208819444444</v>
      </c>
      <c r="B40">
        <v>1561.06</v>
      </c>
      <c r="C40">
        <v>1303</v>
      </c>
      <c r="D40">
        <v>461</v>
      </c>
      <c r="E40">
        <v>24</v>
      </c>
      <c r="F40">
        <v>267</v>
      </c>
      <c r="G40">
        <v>543</v>
      </c>
      <c r="H40">
        <v>45</v>
      </c>
      <c r="I40">
        <v>28</v>
      </c>
      <c r="J40">
        <v>98</v>
      </c>
      <c r="L40">
        <v>163</v>
      </c>
      <c r="M40">
        <v>20</v>
      </c>
      <c r="N40">
        <v>6</v>
      </c>
      <c r="O40">
        <v>40</v>
      </c>
      <c r="Q40">
        <v>289</v>
      </c>
      <c r="R40">
        <v>12</v>
      </c>
      <c r="S40">
        <v>3</v>
      </c>
      <c r="T40">
        <v>48</v>
      </c>
      <c r="V40">
        <f>C40+L40-Q40</f>
        <v>1177</v>
      </c>
      <c r="W40">
        <f>D40+M40-R40</f>
        <v>469</v>
      </c>
      <c r="X40">
        <f>E40+N40-S40</f>
        <v>27</v>
      </c>
      <c r="Y40">
        <f>F40+O40-T40</f>
        <v>259</v>
      </c>
      <c r="AA40">
        <f>G40-L40+Q40</f>
        <v>669</v>
      </c>
      <c r="AB40">
        <f>H40-M40+R40</f>
        <v>37</v>
      </c>
      <c r="AC40">
        <f>I40-N40+S40</f>
        <v>25</v>
      </c>
      <c r="AD40">
        <f>J40-O40+T40</f>
        <v>106</v>
      </c>
      <c r="AF40">
        <f>V40-V39</f>
        <v>52</v>
      </c>
      <c r="AG40">
        <f>W40-W39</f>
        <v>20</v>
      </c>
      <c r="AH40">
        <f>X40-X39</f>
        <v>0</v>
      </c>
      <c r="AI40">
        <f>Y40-Y39</f>
        <v>11</v>
      </c>
      <c r="AK40">
        <f>AA40-AA39</f>
        <v>16</v>
      </c>
      <c r="AL40">
        <f>AB40-AB39</f>
        <v>5</v>
      </c>
      <c r="AM40">
        <f>AC40-AC39</f>
        <v>1</v>
      </c>
      <c r="AN40">
        <f>AD40-AD39</f>
        <v>5</v>
      </c>
      <c r="AP40">
        <f t="shared" si="19"/>
        <v>63</v>
      </c>
      <c r="AQ40">
        <f t="shared" si="20"/>
        <v>22</v>
      </c>
      <c r="AS40">
        <f t="shared" si="23"/>
        <v>61</v>
      </c>
      <c r="AT40">
        <f t="shared" si="24"/>
        <v>24</v>
      </c>
      <c r="AV40">
        <f t="shared" si="21"/>
        <v>2</v>
      </c>
      <c r="AW40">
        <f t="shared" si="22"/>
        <v>-2</v>
      </c>
    </row>
    <row r="41" spans="1:49">
      <c r="A41" s="1">
        <v>46110.212037037039</v>
      </c>
      <c r="B41">
        <v>1621.1</v>
      </c>
      <c r="C41">
        <v>1354</v>
      </c>
      <c r="D41">
        <v>472</v>
      </c>
      <c r="E41">
        <v>24</v>
      </c>
      <c r="F41">
        <v>278</v>
      </c>
      <c r="G41">
        <v>560</v>
      </c>
      <c r="H41">
        <v>47</v>
      </c>
      <c r="I41">
        <v>30</v>
      </c>
      <c r="J41">
        <v>102</v>
      </c>
      <c r="L41">
        <v>169</v>
      </c>
      <c r="M41">
        <v>20</v>
      </c>
      <c r="N41">
        <v>7</v>
      </c>
      <c r="O41">
        <v>41</v>
      </c>
      <c r="Q41">
        <v>297</v>
      </c>
      <c r="R41">
        <v>12</v>
      </c>
      <c r="S41">
        <v>3</v>
      </c>
      <c r="T41">
        <v>48</v>
      </c>
      <c r="V41">
        <f>C41+L41-Q41</f>
        <v>1226</v>
      </c>
      <c r="W41">
        <f>D41+M41-R41</f>
        <v>480</v>
      </c>
      <c r="X41">
        <f>E41+N41-S41</f>
        <v>28</v>
      </c>
      <c r="Y41">
        <f>F41+O41-T41</f>
        <v>271</v>
      </c>
      <c r="AA41">
        <f>G41-L41+Q41</f>
        <v>688</v>
      </c>
      <c r="AB41">
        <f>H41-M41+R41</f>
        <v>39</v>
      </c>
      <c r="AC41">
        <f>I41-N41+S41</f>
        <v>26</v>
      </c>
      <c r="AD41">
        <f>J41-O41+T41</f>
        <v>109</v>
      </c>
      <c r="AF41">
        <f>V41-V40</f>
        <v>49</v>
      </c>
      <c r="AG41">
        <f>W41-W40</f>
        <v>11</v>
      </c>
      <c r="AH41">
        <f>X41-X40</f>
        <v>1</v>
      </c>
      <c r="AI41">
        <f>Y41-Y40</f>
        <v>12</v>
      </c>
      <c r="AK41">
        <f>AA41-AA40</f>
        <v>19</v>
      </c>
      <c r="AL41">
        <f>AB41-AB40</f>
        <v>2</v>
      </c>
      <c r="AM41">
        <f>AC41-AC40</f>
        <v>1</v>
      </c>
      <c r="AN41">
        <f>AD41-AD40</f>
        <v>3</v>
      </c>
      <c r="AP41">
        <f t="shared" si="19"/>
        <v>62</v>
      </c>
      <c r="AQ41">
        <f t="shared" si="20"/>
        <v>23</v>
      </c>
      <c r="AS41">
        <f t="shared" si="23"/>
        <v>62</v>
      </c>
      <c r="AT41">
        <f t="shared" si="24"/>
        <v>23</v>
      </c>
      <c r="AV41">
        <f t="shared" si="21"/>
        <v>0</v>
      </c>
      <c r="AW41">
        <f t="shared" si="22"/>
        <v>0</v>
      </c>
    </row>
    <row r="42" spans="1:49">
      <c r="A42" s="1">
        <v>46110.215150462966</v>
      </c>
      <c r="B42">
        <v>1681.14</v>
      </c>
      <c r="C42">
        <v>1400</v>
      </c>
      <c r="D42">
        <v>494</v>
      </c>
      <c r="E42">
        <v>24</v>
      </c>
      <c r="F42">
        <v>287</v>
      </c>
      <c r="G42">
        <v>580</v>
      </c>
      <c r="H42">
        <v>50</v>
      </c>
      <c r="I42">
        <v>30</v>
      </c>
      <c r="J42">
        <v>103</v>
      </c>
      <c r="L42">
        <v>173</v>
      </c>
      <c r="M42">
        <v>20</v>
      </c>
      <c r="N42">
        <v>7</v>
      </c>
      <c r="O42">
        <v>42</v>
      </c>
      <c r="Q42">
        <v>308</v>
      </c>
      <c r="R42">
        <v>12</v>
      </c>
      <c r="S42">
        <v>3</v>
      </c>
      <c r="T42">
        <v>49</v>
      </c>
      <c r="V42">
        <f>C42+L42-Q42</f>
        <v>1265</v>
      </c>
      <c r="W42">
        <f>D42+M42-R42</f>
        <v>502</v>
      </c>
      <c r="X42">
        <f>E42+N42-S42</f>
        <v>28</v>
      </c>
      <c r="Y42">
        <f>F42+O42-T42</f>
        <v>280</v>
      </c>
      <c r="AA42">
        <f>G42-L42+Q42</f>
        <v>715</v>
      </c>
      <c r="AB42">
        <f>H42-M42+R42</f>
        <v>42</v>
      </c>
      <c r="AC42">
        <f>I42-N42+S42</f>
        <v>26</v>
      </c>
      <c r="AD42">
        <f>J42-O42+T42</f>
        <v>110</v>
      </c>
      <c r="AF42">
        <f>V42-V41</f>
        <v>39</v>
      </c>
      <c r="AG42">
        <f>W42-W41</f>
        <v>22</v>
      </c>
      <c r="AH42">
        <f>X42-X41</f>
        <v>0</v>
      </c>
      <c r="AI42">
        <f>Y42-Y41</f>
        <v>9</v>
      </c>
      <c r="AK42">
        <f>AA42-AA41</f>
        <v>27</v>
      </c>
      <c r="AL42">
        <f>AB42-AB41</f>
        <v>3</v>
      </c>
      <c r="AM42">
        <f>AC42-AC41</f>
        <v>0</v>
      </c>
      <c r="AN42">
        <f>AD42-AD41</f>
        <v>1</v>
      </c>
      <c r="AP42">
        <f t="shared" si="19"/>
        <v>48</v>
      </c>
      <c r="AQ42">
        <f t="shared" si="20"/>
        <v>28</v>
      </c>
      <c r="AS42">
        <f t="shared" si="23"/>
        <v>55</v>
      </c>
      <c r="AT42">
        <f t="shared" si="24"/>
        <v>21</v>
      </c>
      <c r="AV42">
        <f t="shared" si="21"/>
        <v>-7</v>
      </c>
      <c r="AW42">
        <f t="shared" si="22"/>
        <v>7</v>
      </c>
    </row>
    <row r="43" spans="1:49">
      <c r="A43" s="1">
        <v>46110.218240740738</v>
      </c>
      <c r="B43">
        <v>1741.18</v>
      </c>
      <c r="C43">
        <v>1446</v>
      </c>
      <c r="D43">
        <v>505</v>
      </c>
      <c r="E43">
        <v>24</v>
      </c>
      <c r="F43">
        <v>301</v>
      </c>
      <c r="G43">
        <v>597</v>
      </c>
      <c r="H43">
        <v>51</v>
      </c>
      <c r="I43">
        <v>31</v>
      </c>
      <c r="J43">
        <v>108</v>
      </c>
      <c r="L43">
        <v>178</v>
      </c>
      <c r="M43">
        <v>20</v>
      </c>
      <c r="N43">
        <v>7</v>
      </c>
      <c r="O43">
        <v>47</v>
      </c>
      <c r="Q43">
        <v>316</v>
      </c>
      <c r="R43">
        <v>12</v>
      </c>
      <c r="S43">
        <v>3</v>
      </c>
      <c r="T43">
        <v>53</v>
      </c>
      <c r="V43">
        <f>C43+L43-Q43</f>
        <v>1308</v>
      </c>
      <c r="W43">
        <f>D43+M43-R43</f>
        <v>513</v>
      </c>
      <c r="X43">
        <f>E43+N43-S43</f>
        <v>28</v>
      </c>
      <c r="Y43">
        <f>F43+O43-T43</f>
        <v>295</v>
      </c>
      <c r="AA43">
        <f>G43-L43+Q43</f>
        <v>735</v>
      </c>
      <c r="AB43">
        <f>H43-M43+R43</f>
        <v>43</v>
      </c>
      <c r="AC43">
        <f>I43-N43+S43</f>
        <v>27</v>
      </c>
      <c r="AD43">
        <f>J43-O43+T43</f>
        <v>114</v>
      </c>
      <c r="AF43">
        <f>V43-V42</f>
        <v>43</v>
      </c>
      <c r="AG43">
        <f>W43-W42</f>
        <v>11</v>
      </c>
      <c r="AH43">
        <f>X43-X42</f>
        <v>0</v>
      </c>
      <c r="AI43">
        <f>Y43-Y42</f>
        <v>15</v>
      </c>
      <c r="AK43">
        <f>AA43-AA42</f>
        <v>20</v>
      </c>
      <c r="AL43">
        <f>AB43-AB42</f>
        <v>1</v>
      </c>
      <c r="AM43">
        <f>AC43-AC42</f>
        <v>1</v>
      </c>
      <c r="AN43">
        <f>AD43-AD42</f>
        <v>4</v>
      </c>
      <c r="AP43">
        <f t="shared" si="19"/>
        <v>58</v>
      </c>
      <c r="AQ43">
        <f t="shared" si="20"/>
        <v>25</v>
      </c>
      <c r="AS43">
        <f t="shared" si="23"/>
        <v>60</v>
      </c>
      <c r="AT43">
        <f t="shared" si="24"/>
        <v>23</v>
      </c>
      <c r="AV43">
        <f t="shared" si="21"/>
        <v>-2</v>
      </c>
      <c r="AW43">
        <f t="shared" si="22"/>
        <v>2</v>
      </c>
    </row>
    <row r="44" spans="1:49">
      <c r="A44" s="1">
        <v>46110.221087962964</v>
      </c>
      <c r="B44">
        <v>1801.22</v>
      </c>
      <c r="C44">
        <v>1497</v>
      </c>
      <c r="D44">
        <v>516</v>
      </c>
      <c r="E44">
        <v>24</v>
      </c>
      <c r="F44">
        <v>310</v>
      </c>
      <c r="G44">
        <v>617</v>
      </c>
      <c r="H44">
        <v>51</v>
      </c>
      <c r="I44">
        <v>32</v>
      </c>
      <c r="J44">
        <v>117</v>
      </c>
      <c r="L44">
        <v>183</v>
      </c>
      <c r="M44">
        <v>20</v>
      </c>
      <c r="N44">
        <v>7</v>
      </c>
      <c r="O44">
        <v>49</v>
      </c>
      <c r="Q44">
        <v>323</v>
      </c>
      <c r="R44">
        <v>12</v>
      </c>
      <c r="S44">
        <v>3</v>
      </c>
      <c r="T44">
        <v>58</v>
      </c>
      <c r="V44">
        <f>C44+L44-Q44</f>
        <v>1357</v>
      </c>
      <c r="W44">
        <f>D44+M44-R44</f>
        <v>524</v>
      </c>
      <c r="X44">
        <f>E44+N44-S44</f>
        <v>28</v>
      </c>
      <c r="Y44">
        <f>F44+O44-T44</f>
        <v>301</v>
      </c>
      <c r="AA44">
        <f>G44-L44+Q44</f>
        <v>757</v>
      </c>
      <c r="AB44">
        <f>H44-M44+R44</f>
        <v>43</v>
      </c>
      <c r="AC44">
        <f>I44-N44+S44</f>
        <v>28</v>
      </c>
      <c r="AD44">
        <f>J44-O44+T44</f>
        <v>126</v>
      </c>
      <c r="AF44">
        <f>V44-V43</f>
        <v>49</v>
      </c>
      <c r="AG44">
        <f>W44-W43</f>
        <v>11</v>
      </c>
      <c r="AH44">
        <f>X44-X43</f>
        <v>0</v>
      </c>
      <c r="AI44">
        <f>Y44-Y43</f>
        <v>6</v>
      </c>
      <c r="AK44">
        <f>AA44-AA43</f>
        <v>22</v>
      </c>
      <c r="AL44">
        <f>AB44-AB43</f>
        <v>0</v>
      </c>
      <c r="AM44">
        <f>AC44-AC43</f>
        <v>1</v>
      </c>
      <c r="AN44">
        <f>AD44-AD43</f>
        <v>12</v>
      </c>
      <c r="AP44">
        <f t="shared" si="19"/>
        <v>55</v>
      </c>
      <c r="AQ44">
        <f t="shared" si="20"/>
        <v>35</v>
      </c>
      <c r="AS44">
        <f t="shared" si="23"/>
        <v>60</v>
      </c>
      <c r="AT44">
        <f t="shared" si="24"/>
        <v>30</v>
      </c>
      <c r="AV44">
        <f t="shared" si="21"/>
        <v>-5</v>
      </c>
      <c r="AW44">
        <f t="shared" si="22"/>
        <v>5</v>
      </c>
    </row>
    <row r="45" spans="1:49">
      <c r="A45" s="1">
        <v>46110.223668981482</v>
      </c>
      <c r="B45">
        <v>1861.26</v>
      </c>
      <c r="C45">
        <v>1553</v>
      </c>
      <c r="D45">
        <v>526</v>
      </c>
      <c r="E45">
        <v>24</v>
      </c>
      <c r="F45">
        <v>322</v>
      </c>
      <c r="G45">
        <v>636</v>
      </c>
      <c r="H45">
        <v>52</v>
      </c>
      <c r="I45">
        <v>34</v>
      </c>
      <c r="J45">
        <v>122</v>
      </c>
      <c r="L45">
        <v>190</v>
      </c>
      <c r="M45">
        <v>20</v>
      </c>
      <c r="N45">
        <v>7</v>
      </c>
      <c r="O45">
        <v>54</v>
      </c>
      <c r="Q45">
        <v>335</v>
      </c>
      <c r="R45">
        <v>12</v>
      </c>
      <c r="S45">
        <v>3</v>
      </c>
      <c r="T45">
        <v>62</v>
      </c>
      <c r="V45">
        <f>C45+L45-Q45</f>
        <v>1408</v>
      </c>
      <c r="W45">
        <f>D45+M45-R45</f>
        <v>534</v>
      </c>
      <c r="X45">
        <f>E45+N45-S45</f>
        <v>28</v>
      </c>
      <c r="Y45">
        <f>F45+O45-T45</f>
        <v>314</v>
      </c>
      <c r="AA45">
        <f>G45-L45+Q45</f>
        <v>781</v>
      </c>
      <c r="AB45">
        <f>H45-M45+R45</f>
        <v>44</v>
      </c>
      <c r="AC45">
        <f>I45-N45+S45</f>
        <v>30</v>
      </c>
      <c r="AD45">
        <f>J45-O45+T45</f>
        <v>130</v>
      </c>
      <c r="AF45">
        <f>V45-V44</f>
        <v>51</v>
      </c>
      <c r="AG45">
        <f>W45-W44</f>
        <v>10</v>
      </c>
      <c r="AH45">
        <f>X45-X44</f>
        <v>0</v>
      </c>
      <c r="AI45">
        <f>Y45-Y44</f>
        <v>13</v>
      </c>
      <c r="AK45">
        <f>AA45-AA44</f>
        <v>24</v>
      </c>
      <c r="AL45">
        <f>AB45-AB44</f>
        <v>1</v>
      </c>
      <c r="AM45">
        <f>AC45-AC44</f>
        <v>2</v>
      </c>
      <c r="AN45">
        <f>AD45-AD44</f>
        <v>4</v>
      </c>
      <c r="AP45">
        <f t="shared" si="19"/>
        <v>64</v>
      </c>
      <c r="AQ45">
        <f t="shared" si="20"/>
        <v>30</v>
      </c>
      <c r="AS45">
        <f t="shared" si="23"/>
        <v>68</v>
      </c>
      <c r="AT45">
        <f t="shared" si="24"/>
        <v>26</v>
      </c>
      <c r="AV45">
        <f t="shared" si="21"/>
        <v>-4</v>
      </c>
      <c r="AW45">
        <f t="shared" si="22"/>
        <v>4</v>
      </c>
    </row>
    <row r="46" spans="1:49">
      <c r="A46" s="1">
        <v>46110.226319444446</v>
      </c>
      <c r="B46">
        <v>1921.05</v>
      </c>
      <c r="C46">
        <v>1599</v>
      </c>
      <c r="D46">
        <v>547</v>
      </c>
      <c r="E46">
        <v>24</v>
      </c>
      <c r="F46">
        <v>335</v>
      </c>
      <c r="G46">
        <v>651</v>
      </c>
      <c r="H46">
        <v>52</v>
      </c>
      <c r="I46">
        <v>34</v>
      </c>
      <c r="J46">
        <v>129</v>
      </c>
      <c r="L46">
        <v>193</v>
      </c>
      <c r="M46">
        <v>22</v>
      </c>
      <c r="N46">
        <v>7</v>
      </c>
      <c r="O46">
        <v>56</v>
      </c>
      <c r="Q46">
        <v>345</v>
      </c>
      <c r="R46">
        <v>13</v>
      </c>
      <c r="S46">
        <v>3</v>
      </c>
      <c r="T46">
        <v>65</v>
      </c>
      <c r="V46">
        <f>C46+L46-Q46</f>
        <v>1447</v>
      </c>
      <c r="W46">
        <f>D46+M46-R46</f>
        <v>556</v>
      </c>
      <c r="X46">
        <f>E46+N46-S46</f>
        <v>28</v>
      </c>
      <c r="Y46">
        <f>F46+O46-T46</f>
        <v>326</v>
      </c>
      <c r="AA46">
        <f>G46-L46+Q46</f>
        <v>803</v>
      </c>
      <c r="AB46">
        <f>H46-M46+R46</f>
        <v>43</v>
      </c>
      <c r="AC46">
        <f>I46-N46+S46</f>
        <v>30</v>
      </c>
      <c r="AD46">
        <f>J46-O46+T46</f>
        <v>138</v>
      </c>
      <c r="AF46">
        <f>V46-V45</f>
        <v>39</v>
      </c>
      <c r="AG46">
        <f>W46-W45</f>
        <v>22</v>
      </c>
      <c r="AH46">
        <f>X46-X45</f>
        <v>0</v>
      </c>
      <c r="AI46">
        <f>Y46-Y45</f>
        <v>12</v>
      </c>
      <c r="AK46">
        <f>AA46-AA45</f>
        <v>22</v>
      </c>
      <c r="AL46">
        <f>AB46-AB45</f>
        <v>-1</v>
      </c>
      <c r="AM46">
        <f>AC46-AC45</f>
        <v>0</v>
      </c>
      <c r="AN46">
        <f>AD46-AD45</f>
        <v>8</v>
      </c>
      <c r="AP46">
        <f t="shared" si="19"/>
        <v>51</v>
      </c>
      <c r="AQ46">
        <f t="shared" si="20"/>
        <v>30</v>
      </c>
      <c r="AS46">
        <f t="shared" si="23"/>
        <v>59</v>
      </c>
      <c r="AT46">
        <f t="shared" si="24"/>
        <v>22</v>
      </c>
      <c r="AV46">
        <f t="shared" si="21"/>
        <v>-8</v>
      </c>
      <c r="AW46">
        <f t="shared" si="22"/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NB012</dc:creator>
  <cp:keywords/>
  <dc:description/>
  <cp:lastModifiedBy>Luo Wenjie</cp:lastModifiedBy>
  <cp:revision/>
  <dcterms:created xsi:type="dcterms:W3CDTF">2026-03-29T11:10:59Z</dcterms:created>
  <dcterms:modified xsi:type="dcterms:W3CDTF">2026-04-01T11:12:43Z</dcterms:modified>
  <cp:category/>
  <cp:contentStatus/>
</cp:coreProperties>
</file>