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xr:revisionPtr revIDLastSave="143" documentId="11_FCFA8EE853B89C64856A9DC0B7F8415E5843EA14" xr6:coauthVersionLast="47" xr6:coauthVersionMax="47" xr10:uidLastSave="{846C0627-7C77-47B3-8CD6-5B921E946A83}"/>
  <bookViews>
    <workbookView xWindow="180" yWindow="120" windowWidth="21293" windowHeight="8453" xr2:uid="{00000000-000D-0000-FFFF-FFFF00000000}"/>
  </bookViews>
  <sheets>
    <sheet name="Results" sheetId="2" r:id="rId1"/>
    <sheet name="Calculations 1" sheetId="1" r:id="rId2"/>
    <sheet name="Calculations 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N3" i="2"/>
  <c r="Z2" i="3"/>
  <c r="Z3" i="3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6" i="2"/>
  <c r="K67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6" i="2"/>
  <c r="N67" i="2"/>
  <c r="AA3" i="3"/>
  <c r="AB3" i="3"/>
  <c r="AC3" i="3"/>
  <c r="AA4" i="3"/>
  <c r="AK4" i="3" s="1"/>
  <c r="AB4" i="3"/>
  <c r="AL4" i="3" s="1"/>
  <c r="AC4" i="3"/>
  <c r="AM4" i="3" s="1"/>
  <c r="AA5" i="3"/>
  <c r="AK5" i="3" s="1"/>
  <c r="AB5" i="3"/>
  <c r="AL5" i="3" s="1"/>
  <c r="AC5" i="3"/>
  <c r="AM5" i="3" s="1"/>
  <c r="AA6" i="3"/>
  <c r="AK6" i="3" s="1"/>
  <c r="AB6" i="3"/>
  <c r="AL6" i="3" s="1"/>
  <c r="AC6" i="3"/>
  <c r="AM6" i="3" s="1"/>
  <c r="AA7" i="3"/>
  <c r="AK7" i="3" s="1"/>
  <c r="AB7" i="3"/>
  <c r="AL7" i="3" s="1"/>
  <c r="AC7" i="3"/>
  <c r="AM7" i="3" s="1"/>
  <c r="AA8" i="3"/>
  <c r="AK8" i="3" s="1"/>
  <c r="AB8" i="3"/>
  <c r="AL8" i="3" s="1"/>
  <c r="AC8" i="3"/>
  <c r="AM8" i="3" s="1"/>
  <c r="AA9" i="3"/>
  <c r="AK9" i="3" s="1"/>
  <c r="AB9" i="3"/>
  <c r="AL9" i="3" s="1"/>
  <c r="AC9" i="3"/>
  <c r="AM9" i="3" s="1"/>
  <c r="AA10" i="3"/>
  <c r="AK10" i="3" s="1"/>
  <c r="AB10" i="3"/>
  <c r="AL10" i="3" s="1"/>
  <c r="AC10" i="3"/>
  <c r="AM10" i="3" s="1"/>
  <c r="AA11" i="3"/>
  <c r="AK11" i="3" s="1"/>
  <c r="AB11" i="3"/>
  <c r="AL11" i="3" s="1"/>
  <c r="AC11" i="3"/>
  <c r="AM11" i="3" s="1"/>
  <c r="AA12" i="3"/>
  <c r="AK12" i="3" s="1"/>
  <c r="AB12" i="3"/>
  <c r="AL12" i="3" s="1"/>
  <c r="AC12" i="3"/>
  <c r="AM12" i="3" s="1"/>
  <c r="AA13" i="3"/>
  <c r="AK13" i="3" s="1"/>
  <c r="AB13" i="3"/>
  <c r="AL13" i="3" s="1"/>
  <c r="AC13" i="3"/>
  <c r="AM13" i="3" s="1"/>
  <c r="AA14" i="3"/>
  <c r="AK14" i="3" s="1"/>
  <c r="AB14" i="3"/>
  <c r="AL14" i="3" s="1"/>
  <c r="AC14" i="3"/>
  <c r="AM14" i="3" s="1"/>
  <c r="AA15" i="3"/>
  <c r="AK15" i="3" s="1"/>
  <c r="AB15" i="3"/>
  <c r="AL15" i="3" s="1"/>
  <c r="AC15" i="3"/>
  <c r="AM15" i="3" s="1"/>
  <c r="AA16" i="3"/>
  <c r="AK16" i="3" s="1"/>
  <c r="AB16" i="3"/>
  <c r="AL16" i="3" s="1"/>
  <c r="AC16" i="3"/>
  <c r="AM16" i="3" s="1"/>
  <c r="AA17" i="3"/>
  <c r="AK17" i="3" s="1"/>
  <c r="AB17" i="3"/>
  <c r="AL17" i="3" s="1"/>
  <c r="AC17" i="3"/>
  <c r="AM17" i="3" s="1"/>
  <c r="AA18" i="3"/>
  <c r="AK18" i="3" s="1"/>
  <c r="AB18" i="3"/>
  <c r="AL18" i="3" s="1"/>
  <c r="AC18" i="3"/>
  <c r="AM18" i="3" s="1"/>
  <c r="AA19" i="3"/>
  <c r="AK19" i="3" s="1"/>
  <c r="AB19" i="3"/>
  <c r="AL19" i="3" s="1"/>
  <c r="AC19" i="3"/>
  <c r="AM19" i="3" s="1"/>
  <c r="AA20" i="3"/>
  <c r="AK20" i="3" s="1"/>
  <c r="AB20" i="3"/>
  <c r="AL20" i="3" s="1"/>
  <c r="AC20" i="3"/>
  <c r="AM20" i="3" s="1"/>
  <c r="AA21" i="3"/>
  <c r="AK21" i="3" s="1"/>
  <c r="AB21" i="3"/>
  <c r="AL21" i="3" s="1"/>
  <c r="AC21" i="3"/>
  <c r="AM21" i="3" s="1"/>
  <c r="AA22" i="3"/>
  <c r="AK22" i="3" s="1"/>
  <c r="AB22" i="3"/>
  <c r="AL22" i="3" s="1"/>
  <c r="AC22" i="3"/>
  <c r="AM22" i="3" s="1"/>
  <c r="AA23" i="3"/>
  <c r="AK23" i="3" s="1"/>
  <c r="AB23" i="3"/>
  <c r="AL23" i="3" s="1"/>
  <c r="AC23" i="3"/>
  <c r="AM23" i="3" s="1"/>
  <c r="AA24" i="3"/>
  <c r="AK24" i="3" s="1"/>
  <c r="AB24" i="3"/>
  <c r="AL24" i="3" s="1"/>
  <c r="AC24" i="3"/>
  <c r="AM24" i="3" s="1"/>
  <c r="AA25" i="3"/>
  <c r="AK25" i="3" s="1"/>
  <c r="AB25" i="3"/>
  <c r="AL25" i="3" s="1"/>
  <c r="AC25" i="3"/>
  <c r="AM25" i="3" s="1"/>
  <c r="AA26" i="3"/>
  <c r="AK26" i="3" s="1"/>
  <c r="AB26" i="3"/>
  <c r="AL26" i="3" s="1"/>
  <c r="AC26" i="3"/>
  <c r="AM26" i="3" s="1"/>
  <c r="AA27" i="3"/>
  <c r="AK27" i="3" s="1"/>
  <c r="AB27" i="3"/>
  <c r="AL27" i="3" s="1"/>
  <c r="AC27" i="3"/>
  <c r="AM27" i="3" s="1"/>
  <c r="AA28" i="3"/>
  <c r="AK28" i="3" s="1"/>
  <c r="AB28" i="3"/>
  <c r="AL28" i="3" s="1"/>
  <c r="AC28" i="3"/>
  <c r="AM28" i="3" s="1"/>
  <c r="AA29" i="3"/>
  <c r="AK29" i="3" s="1"/>
  <c r="AB29" i="3"/>
  <c r="AL29" i="3" s="1"/>
  <c r="AC29" i="3"/>
  <c r="AM29" i="3" s="1"/>
  <c r="AA30" i="3"/>
  <c r="AK30" i="3" s="1"/>
  <c r="AB30" i="3"/>
  <c r="AL30" i="3" s="1"/>
  <c r="AC30" i="3"/>
  <c r="AM30" i="3" s="1"/>
  <c r="AA31" i="3"/>
  <c r="AK31" i="3" s="1"/>
  <c r="AB31" i="3"/>
  <c r="AL31" i="3" s="1"/>
  <c r="AC31" i="3"/>
  <c r="AM31" i="3" s="1"/>
  <c r="AA32" i="3"/>
  <c r="AK32" i="3" s="1"/>
  <c r="AB32" i="3"/>
  <c r="AL32" i="3" s="1"/>
  <c r="AC32" i="3"/>
  <c r="AM32" i="3" s="1"/>
  <c r="AA33" i="3"/>
  <c r="AK33" i="3" s="1"/>
  <c r="AB33" i="3"/>
  <c r="AL33" i="3" s="1"/>
  <c r="AC33" i="3"/>
  <c r="AM33" i="3" s="1"/>
  <c r="AA34" i="3"/>
  <c r="AK34" i="3" s="1"/>
  <c r="AB34" i="3"/>
  <c r="AL34" i="3" s="1"/>
  <c r="AC34" i="3"/>
  <c r="AM34" i="3" s="1"/>
  <c r="AA35" i="3"/>
  <c r="AK35" i="3" s="1"/>
  <c r="AB35" i="3"/>
  <c r="AL35" i="3" s="1"/>
  <c r="AC35" i="3"/>
  <c r="AM35" i="3" s="1"/>
  <c r="AA36" i="3"/>
  <c r="AK36" i="3" s="1"/>
  <c r="AB36" i="3"/>
  <c r="AL36" i="3" s="1"/>
  <c r="AC36" i="3"/>
  <c r="AM36" i="3" s="1"/>
  <c r="AA37" i="3"/>
  <c r="AK37" i="3" s="1"/>
  <c r="AB37" i="3"/>
  <c r="AL37" i="3" s="1"/>
  <c r="AC37" i="3"/>
  <c r="AM37" i="3" s="1"/>
  <c r="AA38" i="3"/>
  <c r="AK38" i="3" s="1"/>
  <c r="AB38" i="3"/>
  <c r="AL38" i="3" s="1"/>
  <c r="AC38" i="3"/>
  <c r="AM38" i="3" s="1"/>
  <c r="AA39" i="3"/>
  <c r="AK39" i="3" s="1"/>
  <c r="AB39" i="3"/>
  <c r="AL39" i="3" s="1"/>
  <c r="AC39" i="3"/>
  <c r="AM39" i="3" s="1"/>
  <c r="AA40" i="3"/>
  <c r="AK40" i="3" s="1"/>
  <c r="AB40" i="3"/>
  <c r="AL40" i="3" s="1"/>
  <c r="AC40" i="3"/>
  <c r="AM40" i="3" s="1"/>
  <c r="AA41" i="3"/>
  <c r="AK41" i="3" s="1"/>
  <c r="AB41" i="3"/>
  <c r="AL41" i="3" s="1"/>
  <c r="AC41" i="3"/>
  <c r="AM41" i="3" s="1"/>
  <c r="AA42" i="3"/>
  <c r="AK42" i="3" s="1"/>
  <c r="AB42" i="3"/>
  <c r="AL42" i="3" s="1"/>
  <c r="AC42" i="3"/>
  <c r="AM42" i="3" s="1"/>
  <c r="AA43" i="3"/>
  <c r="AK43" i="3" s="1"/>
  <c r="AB43" i="3"/>
  <c r="AL43" i="3" s="1"/>
  <c r="AC43" i="3"/>
  <c r="AM43" i="3" s="1"/>
  <c r="AA44" i="3"/>
  <c r="AK44" i="3" s="1"/>
  <c r="AB44" i="3"/>
  <c r="AL44" i="3" s="1"/>
  <c r="AC44" i="3"/>
  <c r="AM44" i="3" s="1"/>
  <c r="AA45" i="3"/>
  <c r="AK45" i="3" s="1"/>
  <c r="AB45" i="3"/>
  <c r="AL45" i="3" s="1"/>
  <c r="AC45" i="3"/>
  <c r="AM45" i="3" s="1"/>
  <c r="AA46" i="3"/>
  <c r="AK46" i="3" s="1"/>
  <c r="AB46" i="3"/>
  <c r="AL46" i="3" s="1"/>
  <c r="AC46" i="3"/>
  <c r="AM46" i="3" s="1"/>
  <c r="AA47" i="3"/>
  <c r="AK47" i="3" s="1"/>
  <c r="AB47" i="3"/>
  <c r="AL47" i="3" s="1"/>
  <c r="AC47" i="3"/>
  <c r="AM47" i="3" s="1"/>
  <c r="AA48" i="3"/>
  <c r="AK48" i="3" s="1"/>
  <c r="AB48" i="3"/>
  <c r="AL48" i="3" s="1"/>
  <c r="AC48" i="3"/>
  <c r="AM48" i="3" s="1"/>
  <c r="AA49" i="3"/>
  <c r="AK49" i="3" s="1"/>
  <c r="AB49" i="3"/>
  <c r="AL49" i="3" s="1"/>
  <c r="AC49" i="3"/>
  <c r="AM49" i="3" s="1"/>
  <c r="AA50" i="3"/>
  <c r="AK50" i="3" s="1"/>
  <c r="AB50" i="3"/>
  <c r="AL50" i="3" s="1"/>
  <c r="AC50" i="3"/>
  <c r="AM50" i="3" s="1"/>
  <c r="AA51" i="3"/>
  <c r="AK51" i="3" s="1"/>
  <c r="AB51" i="3"/>
  <c r="AL51" i="3" s="1"/>
  <c r="AC51" i="3"/>
  <c r="AM51" i="3" s="1"/>
  <c r="AA52" i="3"/>
  <c r="AK52" i="3" s="1"/>
  <c r="AB52" i="3"/>
  <c r="AL52" i="3" s="1"/>
  <c r="AC52" i="3"/>
  <c r="AM52" i="3" s="1"/>
  <c r="AA53" i="3"/>
  <c r="AK53" i="3" s="1"/>
  <c r="AB53" i="3"/>
  <c r="AL53" i="3" s="1"/>
  <c r="AC53" i="3"/>
  <c r="AM53" i="3" s="1"/>
  <c r="AA54" i="3"/>
  <c r="AK54" i="3" s="1"/>
  <c r="AB54" i="3"/>
  <c r="AL54" i="3" s="1"/>
  <c r="AC54" i="3"/>
  <c r="AM54" i="3" s="1"/>
  <c r="AA55" i="3"/>
  <c r="AK55" i="3" s="1"/>
  <c r="AB55" i="3"/>
  <c r="AL55" i="3" s="1"/>
  <c r="AC55" i="3"/>
  <c r="AM55" i="3" s="1"/>
  <c r="AA56" i="3"/>
  <c r="AK56" i="3" s="1"/>
  <c r="AB56" i="3"/>
  <c r="AL56" i="3" s="1"/>
  <c r="AC56" i="3"/>
  <c r="AM56" i="3" s="1"/>
  <c r="AA57" i="3"/>
  <c r="AK57" i="3" s="1"/>
  <c r="AB57" i="3"/>
  <c r="AL57" i="3" s="1"/>
  <c r="AC57" i="3"/>
  <c r="AM57" i="3" s="1"/>
  <c r="AA58" i="3"/>
  <c r="AK58" i="3" s="1"/>
  <c r="AB58" i="3"/>
  <c r="AL58" i="3" s="1"/>
  <c r="AC58" i="3"/>
  <c r="AM58" i="3" s="1"/>
  <c r="AA59" i="3"/>
  <c r="AK59" i="3" s="1"/>
  <c r="AB59" i="3"/>
  <c r="AL59" i="3" s="1"/>
  <c r="AC59" i="3"/>
  <c r="AM59" i="3" s="1"/>
  <c r="AA60" i="3"/>
  <c r="AK60" i="3" s="1"/>
  <c r="AB60" i="3"/>
  <c r="AL60" i="3" s="1"/>
  <c r="AC60" i="3"/>
  <c r="AM60" i="3" s="1"/>
  <c r="AA61" i="3"/>
  <c r="AK61" i="3" s="1"/>
  <c r="AB61" i="3"/>
  <c r="AL61" i="3" s="1"/>
  <c r="AC61" i="3"/>
  <c r="AM61" i="3" s="1"/>
  <c r="AA62" i="3"/>
  <c r="AK62" i="3" s="1"/>
  <c r="AB62" i="3"/>
  <c r="AL62" i="3" s="1"/>
  <c r="AC62" i="3"/>
  <c r="AM62" i="3" s="1"/>
  <c r="AA63" i="3"/>
  <c r="AK63" i="3" s="1"/>
  <c r="AB63" i="3"/>
  <c r="AL63" i="3" s="1"/>
  <c r="AC63" i="3"/>
  <c r="AM63" i="3" s="1"/>
  <c r="AA64" i="3"/>
  <c r="AK64" i="3" s="1"/>
  <c r="AB64" i="3"/>
  <c r="AL64" i="3" s="1"/>
  <c r="AC64" i="3"/>
  <c r="AM64" i="3" s="1"/>
  <c r="V3" i="3"/>
  <c r="W3" i="3"/>
  <c r="X3" i="3"/>
  <c r="V4" i="3"/>
  <c r="AF4" i="3" s="1"/>
  <c r="W4" i="3"/>
  <c r="AG4" i="3" s="1"/>
  <c r="X4" i="3"/>
  <c r="AH4" i="3" s="1"/>
  <c r="V5" i="3"/>
  <c r="AF5" i="3" s="1"/>
  <c r="W5" i="3"/>
  <c r="AG5" i="3" s="1"/>
  <c r="X5" i="3"/>
  <c r="AH5" i="3" s="1"/>
  <c r="V6" i="3"/>
  <c r="AF6" i="3" s="1"/>
  <c r="W6" i="3"/>
  <c r="AG6" i="3" s="1"/>
  <c r="X6" i="3"/>
  <c r="AH6" i="3" s="1"/>
  <c r="V7" i="3"/>
  <c r="AF7" i="3" s="1"/>
  <c r="W7" i="3"/>
  <c r="AG7" i="3" s="1"/>
  <c r="X7" i="3"/>
  <c r="AH7" i="3" s="1"/>
  <c r="V8" i="3"/>
  <c r="AF8" i="3" s="1"/>
  <c r="W8" i="3"/>
  <c r="AG8" i="3" s="1"/>
  <c r="X8" i="3"/>
  <c r="AH8" i="3" s="1"/>
  <c r="V9" i="3"/>
  <c r="AF9" i="3" s="1"/>
  <c r="W9" i="3"/>
  <c r="AG9" i="3" s="1"/>
  <c r="X9" i="3"/>
  <c r="AH9" i="3" s="1"/>
  <c r="V10" i="3"/>
  <c r="AF10" i="3" s="1"/>
  <c r="W10" i="3"/>
  <c r="AG10" i="3" s="1"/>
  <c r="X10" i="3"/>
  <c r="AH10" i="3" s="1"/>
  <c r="V11" i="3"/>
  <c r="AF11" i="3" s="1"/>
  <c r="W11" i="3"/>
  <c r="AG11" i="3" s="1"/>
  <c r="X11" i="3"/>
  <c r="AH11" i="3" s="1"/>
  <c r="V12" i="3"/>
  <c r="AF12" i="3" s="1"/>
  <c r="W12" i="3"/>
  <c r="AG12" i="3" s="1"/>
  <c r="X12" i="3"/>
  <c r="AH12" i="3" s="1"/>
  <c r="V13" i="3"/>
  <c r="AF13" i="3" s="1"/>
  <c r="W13" i="3"/>
  <c r="AG13" i="3" s="1"/>
  <c r="X13" i="3"/>
  <c r="AH13" i="3" s="1"/>
  <c r="V14" i="3"/>
  <c r="AF14" i="3" s="1"/>
  <c r="W14" i="3"/>
  <c r="AG14" i="3" s="1"/>
  <c r="X14" i="3"/>
  <c r="AH14" i="3" s="1"/>
  <c r="V15" i="3"/>
  <c r="AF15" i="3" s="1"/>
  <c r="W15" i="3"/>
  <c r="AG15" i="3" s="1"/>
  <c r="X15" i="3"/>
  <c r="AH15" i="3" s="1"/>
  <c r="V16" i="3"/>
  <c r="AF16" i="3" s="1"/>
  <c r="W16" i="3"/>
  <c r="AG16" i="3" s="1"/>
  <c r="X16" i="3"/>
  <c r="AH16" i="3" s="1"/>
  <c r="V17" i="3"/>
  <c r="AF17" i="3" s="1"/>
  <c r="W17" i="3"/>
  <c r="AG17" i="3" s="1"/>
  <c r="X17" i="3"/>
  <c r="AH17" i="3" s="1"/>
  <c r="V18" i="3"/>
  <c r="AF18" i="3" s="1"/>
  <c r="W18" i="3"/>
  <c r="AG18" i="3" s="1"/>
  <c r="X18" i="3"/>
  <c r="AH18" i="3" s="1"/>
  <c r="V19" i="3"/>
  <c r="AF19" i="3" s="1"/>
  <c r="W19" i="3"/>
  <c r="AG19" i="3" s="1"/>
  <c r="X19" i="3"/>
  <c r="AH19" i="3" s="1"/>
  <c r="V20" i="3"/>
  <c r="AF20" i="3" s="1"/>
  <c r="W20" i="3"/>
  <c r="AG20" i="3" s="1"/>
  <c r="X20" i="3"/>
  <c r="AH20" i="3" s="1"/>
  <c r="V21" i="3"/>
  <c r="AF21" i="3" s="1"/>
  <c r="W21" i="3"/>
  <c r="AG21" i="3" s="1"/>
  <c r="X21" i="3"/>
  <c r="AH21" i="3" s="1"/>
  <c r="V22" i="3"/>
  <c r="AF22" i="3" s="1"/>
  <c r="W22" i="3"/>
  <c r="AG22" i="3" s="1"/>
  <c r="X22" i="3"/>
  <c r="AH22" i="3" s="1"/>
  <c r="V23" i="3"/>
  <c r="AF23" i="3" s="1"/>
  <c r="W23" i="3"/>
  <c r="AG23" i="3" s="1"/>
  <c r="X23" i="3"/>
  <c r="AH23" i="3" s="1"/>
  <c r="V24" i="3"/>
  <c r="AF24" i="3" s="1"/>
  <c r="W24" i="3"/>
  <c r="AG24" i="3" s="1"/>
  <c r="X24" i="3"/>
  <c r="AH24" i="3" s="1"/>
  <c r="V25" i="3"/>
  <c r="AF25" i="3" s="1"/>
  <c r="W25" i="3"/>
  <c r="AG25" i="3" s="1"/>
  <c r="X25" i="3"/>
  <c r="AH25" i="3" s="1"/>
  <c r="V26" i="3"/>
  <c r="AF26" i="3" s="1"/>
  <c r="W26" i="3"/>
  <c r="AG26" i="3" s="1"/>
  <c r="X26" i="3"/>
  <c r="AH26" i="3" s="1"/>
  <c r="V27" i="3"/>
  <c r="AF27" i="3" s="1"/>
  <c r="W27" i="3"/>
  <c r="AG27" i="3" s="1"/>
  <c r="X27" i="3"/>
  <c r="AH27" i="3" s="1"/>
  <c r="V28" i="3"/>
  <c r="AF28" i="3" s="1"/>
  <c r="W28" i="3"/>
  <c r="AG28" i="3" s="1"/>
  <c r="X28" i="3"/>
  <c r="AH28" i="3" s="1"/>
  <c r="V29" i="3"/>
  <c r="AF29" i="3" s="1"/>
  <c r="W29" i="3"/>
  <c r="AG29" i="3" s="1"/>
  <c r="X29" i="3"/>
  <c r="AH29" i="3" s="1"/>
  <c r="V30" i="3"/>
  <c r="AF30" i="3" s="1"/>
  <c r="W30" i="3"/>
  <c r="AG30" i="3" s="1"/>
  <c r="X30" i="3"/>
  <c r="AH30" i="3" s="1"/>
  <c r="V31" i="3"/>
  <c r="AF31" i="3" s="1"/>
  <c r="W31" i="3"/>
  <c r="AG31" i="3" s="1"/>
  <c r="X31" i="3"/>
  <c r="AH31" i="3" s="1"/>
  <c r="V32" i="3"/>
  <c r="AF32" i="3" s="1"/>
  <c r="W32" i="3"/>
  <c r="AG32" i="3" s="1"/>
  <c r="X32" i="3"/>
  <c r="AH32" i="3" s="1"/>
  <c r="V33" i="3"/>
  <c r="AF33" i="3" s="1"/>
  <c r="W33" i="3"/>
  <c r="AG33" i="3" s="1"/>
  <c r="X33" i="3"/>
  <c r="AH33" i="3" s="1"/>
  <c r="V34" i="3"/>
  <c r="AF34" i="3" s="1"/>
  <c r="W34" i="3"/>
  <c r="AG34" i="3" s="1"/>
  <c r="X34" i="3"/>
  <c r="AH34" i="3" s="1"/>
  <c r="V35" i="3"/>
  <c r="AF35" i="3" s="1"/>
  <c r="W35" i="3"/>
  <c r="AG35" i="3" s="1"/>
  <c r="X35" i="3"/>
  <c r="AH35" i="3" s="1"/>
  <c r="V36" i="3"/>
  <c r="AF36" i="3" s="1"/>
  <c r="W36" i="3"/>
  <c r="AG36" i="3" s="1"/>
  <c r="X36" i="3"/>
  <c r="AH36" i="3" s="1"/>
  <c r="V37" i="3"/>
  <c r="AF37" i="3" s="1"/>
  <c r="W37" i="3"/>
  <c r="AG37" i="3" s="1"/>
  <c r="X37" i="3"/>
  <c r="AH37" i="3" s="1"/>
  <c r="V38" i="3"/>
  <c r="AF38" i="3" s="1"/>
  <c r="W38" i="3"/>
  <c r="AG38" i="3" s="1"/>
  <c r="X38" i="3"/>
  <c r="AH38" i="3" s="1"/>
  <c r="V39" i="3"/>
  <c r="AF39" i="3" s="1"/>
  <c r="W39" i="3"/>
  <c r="AG39" i="3" s="1"/>
  <c r="X39" i="3"/>
  <c r="AH39" i="3" s="1"/>
  <c r="V40" i="3"/>
  <c r="AF40" i="3" s="1"/>
  <c r="W40" i="3"/>
  <c r="AG40" i="3" s="1"/>
  <c r="X40" i="3"/>
  <c r="AH40" i="3" s="1"/>
  <c r="V41" i="3"/>
  <c r="AF41" i="3" s="1"/>
  <c r="W41" i="3"/>
  <c r="AG41" i="3" s="1"/>
  <c r="X41" i="3"/>
  <c r="AH41" i="3" s="1"/>
  <c r="V42" i="3"/>
  <c r="AF42" i="3" s="1"/>
  <c r="W42" i="3"/>
  <c r="AG42" i="3" s="1"/>
  <c r="X42" i="3"/>
  <c r="AH42" i="3" s="1"/>
  <c r="V43" i="3"/>
  <c r="AF43" i="3" s="1"/>
  <c r="W43" i="3"/>
  <c r="AG43" i="3" s="1"/>
  <c r="X43" i="3"/>
  <c r="AH43" i="3" s="1"/>
  <c r="V44" i="3"/>
  <c r="AF44" i="3" s="1"/>
  <c r="W44" i="3"/>
  <c r="AG44" i="3" s="1"/>
  <c r="X44" i="3"/>
  <c r="AH44" i="3" s="1"/>
  <c r="V45" i="3"/>
  <c r="AF45" i="3" s="1"/>
  <c r="W45" i="3"/>
  <c r="AG45" i="3" s="1"/>
  <c r="X45" i="3"/>
  <c r="AH45" i="3" s="1"/>
  <c r="V46" i="3"/>
  <c r="AF46" i="3" s="1"/>
  <c r="W46" i="3"/>
  <c r="AG46" i="3" s="1"/>
  <c r="X46" i="3"/>
  <c r="AH46" i="3" s="1"/>
  <c r="V47" i="3"/>
  <c r="AF47" i="3" s="1"/>
  <c r="W47" i="3"/>
  <c r="AG47" i="3" s="1"/>
  <c r="X47" i="3"/>
  <c r="AH47" i="3" s="1"/>
  <c r="V48" i="3"/>
  <c r="AF48" i="3" s="1"/>
  <c r="W48" i="3"/>
  <c r="AG48" i="3" s="1"/>
  <c r="X48" i="3"/>
  <c r="AH48" i="3" s="1"/>
  <c r="V49" i="3"/>
  <c r="AF49" i="3" s="1"/>
  <c r="W49" i="3"/>
  <c r="AG49" i="3" s="1"/>
  <c r="X49" i="3"/>
  <c r="AH49" i="3" s="1"/>
  <c r="V50" i="3"/>
  <c r="AF50" i="3" s="1"/>
  <c r="W50" i="3"/>
  <c r="AG50" i="3" s="1"/>
  <c r="X50" i="3"/>
  <c r="AH50" i="3" s="1"/>
  <c r="V51" i="3"/>
  <c r="AF51" i="3" s="1"/>
  <c r="W51" i="3"/>
  <c r="AG51" i="3" s="1"/>
  <c r="X51" i="3"/>
  <c r="AH51" i="3" s="1"/>
  <c r="V52" i="3"/>
  <c r="AF52" i="3" s="1"/>
  <c r="W52" i="3"/>
  <c r="AG52" i="3" s="1"/>
  <c r="X52" i="3"/>
  <c r="AH52" i="3" s="1"/>
  <c r="V53" i="3"/>
  <c r="AF53" i="3" s="1"/>
  <c r="W53" i="3"/>
  <c r="AG53" i="3" s="1"/>
  <c r="X53" i="3"/>
  <c r="AH53" i="3" s="1"/>
  <c r="V54" i="3"/>
  <c r="AF54" i="3" s="1"/>
  <c r="W54" i="3"/>
  <c r="AG54" i="3" s="1"/>
  <c r="X54" i="3"/>
  <c r="AH54" i="3" s="1"/>
  <c r="V55" i="3"/>
  <c r="AF55" i="3" s="1"/>
  <c r="W55" i="3"/>
  <c r="AG55" i="3" s="1"/>
  <c r="X55" i="3"/>
  <c r="AH55" i="3" s="1"/>
  <c r="V56" i="3"/>
  <c r="AF56" i="3" s="1"/>
  <c r="W56" i="3"/>
  <c r="AG56" i="3" s="1"/>
  <c r="X56" i="3"/>
  <c r="AH56" i="3" s="1"/>
  <c r="V57" i="3"/>
  <c r="AF57" i="3" s="1"/>
  <c r="W57" i="3"/>
  <c r="AG57" i="3" s="1"/>
  <c r="X57" i="3"/>
  <c r="AH57" i="3" s="1"/>
  <c r="V58" i="3"/>
  <c r="AF58" i="3" s="1"/>
  <c r="W58" i="3"/>
  <c r="AG58" i="3" s="1"/>
  <c r="X58" i="3"/>
  <c r="AH58" i="3" s="1"/>
  <c r="V59" i="3"/>
  <c r="AF59" i="3" s="1"/>
  <c r="W59" i="3"/>
  <c r="AG59" i="3" s="1"/>
  <c r="X59" i="3"/>
  <c r="AH59" i="3" s="1"/>
  <c r="V60" i="3"/>
  <c r="AF60" i="3" s="1"/>
  <c r="W60" i="3"/>
  <c r="AG60" i="3" s="1"/>
  <c r="X60" i="3"/>
  <c r="AH60" i="3" s="1"/>
  <c r="V61" i="3"/>
  <c r="AF61" i="3" s="1"/>
  <c r="W61" i="3"/>
  <c r="AG61" i="3" s="1"/>
  <c r="X61" i="3"/>
  <c r="AH61" i="3" s="1"/>
  <c r="V62" i="3"/>
  <c r="AF62" i="3" s="1"/>
  <c r="W62" i="3"/>
  <c r="AG62" i="3" s="1"/>
  <c r="X62" i="3"/>
  <c r="AH62" i="3" s="1"/>
  <c r="V63" i="3"/>
  <c r="AF63" i="3" s="1"/>
  <c r="W63" i="3"/>
  <c r="AG63" i="3" s="1"/>
  <c r="X63" i="3"/>
  <c r="AH63" i="3" s="1"/>
  <c r="V64" i="3"/>
  <c r="AF64" i="3" s="1"/>
  <c r="W64" i="3"/>
  <c r="AG64" i="3" s="1"/>
  <c r="X64" i="3"/>
  <c r="AH64" i="3" s="1"/>
  <c r="AA2" i="3"/>
  <c r="AK2" i="3" s="1"/>
  <c r="AB2" i="3"/>
  <c r="AL2" i="3" s="1"/>
  <c r="AC2" i="3"/>
  <c r="AM2" i="3" s="1"/>
  <c r="V2" i="3"/>
  <c r="AF2" i="3" s="1"/>
  <c r="W2" i="3"/>
  <c r="AG2" i="3" s="1"/>
  <c r="X2" i="3"/>
  <c r="AH2" i="3" s="1"/>
  <c r="U3" i="3"/>
  <c r="U4" i="3"/>
  <c r="AE4" i="3" s="1"/>
  <c r="Z4" i="3"/>
  <c r="AJ4" i="3" s="1"/>
  <c r="U5" i="3"/>
  <c r="AE5" i="3" s="1"/>
  <c r="Z5" i="3"/>
  <c r="AJ5" i="3" s="1"/>
  <c r="U6" i="3"/>
  <c r="AE6" i="3" s="1"/>
  <c r="Z6" i="3"/>
  <c r="AJ6" i="3" s="1"/>
  <c r="U7" i="3"/>
  <c r="AE7" i="3" s="1"/>
  <c r="Z7" i="3"/>
  <c r="AJ7" i="3" s="1"/>
  <c r="U8" i="3"/>
  <c r="AE8" i="3" s="1"/>
  <c r="Z8" i="3"/>
  <c r="AJ8" i="3" s="1"/>
  <c r="U9" i="3"/>
  <c r="AE9" i="3" s="1"/>
  <c r="Z9" i="3"/>
  <c r="AJ9" i="3" s="1"/>
  <c r="U10" i="3"/>
  <c r="AE10" i="3" s="1"/>
  <c r="Z10" i="3"/>
  <c r="AJ10" i="3" s="1"/>
  <c r="U11" i="3"/>
  <c r="AE11" i="3" s="1"/>
  <c r="Z11" i="3"/>
  <c r="AJ11" i="3" s="1"/>
  <c r="U12" i="3"/>
  <c r="AE12" i="3" s="1"/>
  <c r="Z12" i="3"/>
  <c r="AJ12" i="3" s="1"/>
  <c r="U13" i="3"/>
  <c r="AE13" i="3" s="1"/>
  <c r="Z13" i="3"/>
  <c r="AJ13" i="3" s="1"/>
  <c r="U14" i="3"/>
  <c r="AE14" i="3" s="1"/>
  <c r="Z14" i="3"/>
  <c r="AJ14" i="3" s="1"/>
  <c r="U15" i="3"/>
  <c r="AE15" i="3" s="1"/>
  <c r="Z15" i="3"/>
  <c r="AJ15" i="3" s="1"/>
  <c r="U16" i="3"/>
  <c r="AE16" i="3" s="1"/>
  <c r="Z16" i="3"/>
  <c r="AJ16" i="3" s="1"/>
  <c r="U17" i="3"/>
  <c r="AE17" i="3" s="1"/>
  <c r="Z17" i="3"/>
  <c r="AJ17" i="3" s="1"/>
  <c r="U18" i="3"/>
  <c r="AE18" i="3" s="1"/>
  <c r="Z18" i="3"/>
  <c r="AJ18" i="3" s="1"/>
  <c r="U19" i="3"/>
  <c r="AE19" i="3" s="1"/>
  <c r="Z19" i="3"/>
  <c r="AJ19" i="3" s="1"/>
  <c r="U20" i="3"/>
  <c r="AE20" i="3" s="1"/>
  <c r="Z20" i="3"/>
  <c r="AJ20" i="3" s="1"/>
  <c r="U21" i="3"/>
  <c r="AE21" i="3" s="1"/>
  <c r="Z21" i="3"/>
  <c r="AJ21" i="3" s="1"/>
  <c r="U22" i="3"/>
  <c r="AE22" i="3" s="1"/>
  <c r="Z22" i="3"/>
  <c r="AJ22" i="3" s="1"/>
  <c r="U23" i="3"/>
  <c r="AE23" i="3" s="1"/>
  <c r="Z23" i="3"/>
  <c r="AJ23" i="3" s="1"/>
  <c r="U24" i="3"/>
  <c r="AE24" i="3" s="1"/>
  <c r="Z24" i="3"/>
  <c r="AJ24" i="3" s="1"/>
  <c r="U25" i="3"/>
  <c r="AE25" i="3" s="1"/>
  <c r="Z25" i="3"/>
  <c r="AJ25" i="3" s="1"/>
  <c r="U26" i="3"/>
  <c r="AE26" i="3" s="1"/>
  <c r="Z26" i="3"/>
  <c r="AJ26" i="3" s="1"/>
  <c r="U27" i="3"/>
  <c r="AE27" i="3" s="1"/>
  <c r="Z27" i="3"/>
  <c r="AJ27" i="3" s="1"/>
  <c r="U28" i="3"/>
  <c r="AE28" i="3" s="1"/>
  <c r="Z28" i="3"/>
  <c r="AJ28" i="3" s="1"/>
  <c r="U29" i="3"/>
  <c r="AE29" i="3" s="1"/>
  <c r="Z29" i="3"/>
  <c r="AJ29" i="3" s="1"/>
  <c r="U30" i="3"/>
  <c r="AE30" i="3" s="1"/>
  <c r="Z30" i="3"/>
  <c r="AJ30" i="3" s="1"/>
  <c r="U31" i="3"/>
  <c r="AE31" i="3" s="1"/>
  <c r="Z31" i="3"/>
  <c r="AJ31" i="3" s="1"/>
  <c r="U32" i="3"/>
  <c r="AE32" i="3" s="1"/>
  <c r="Z32" i="3"/>
  <c r="AJ32" i="3" s="1"/>
  <c r="U33" i="3"/>
  <c r="AE33" i="3" s="1"/>
  <c r="Z33" i="3"/>
  <c r="AJ33" i="3" s="1"/>
  <c r="U34" i="3"/>
  <c r="AE34" i="3" s="1"/>
  <c r="Z34" i="3"/>
  <c r="AJ34" i="3" s="1"/>
  <c r="U35" i="3"/>
  <c r="AE35" i="3" s="1"/>
  <c r="Z35" i="3"/>
  <c r="AJ35" i="3" s="1"/>
  <c r="U36" i="3"/>
  <c r="AE36" i="3" s="1"/>
  <c r="Z36" i="3"/>
  <c r="AJ36" i="3" s="1"/>
  <c r="U37" i="3"/>
  <c r="AE37" i="3" s="1"/>
  <c r="Z37" i="3"/>
  <c r="AJ37" i="3" s="1"/>
  <c r="U38" i="3"/>
  <c r="AE38" i="3" s="1"/>
  <c r="Z38" i="3"/>
  <c r="AJ38" i="3" s="1"/>
  <c r="U39" i="3"/>
  <c r="AE39" i="3" s="1"/>
  <c r="Z39" i="3"/>
  <c r="AJ39" i="3" s="1"/>
  <c r="U40" i="3"/>
  <c r="AE40" i="3" s="1"/>
  <c r="Z40" i="3"/>
  <c r="AJ40" i="3" s="1"/>
  <c r="U41" i="3"/>
  <c r="AE41" i="3" s="1"/>
  <c r="Z41" i="3"/>
  <c r="AJ41" i="3" s="1"/>
  <c r="U42" i="3"/>
  <c r="AE42" i="3" s="1"/>
  <c r="Z42" i="3"/>
  <c r="AJ42" i="3" s="1"/>
  <c r="U43" i="3"/>
  <c r="AE43" i="3" s="1"/>
  <c r="Z43" i="3"/>
  <c r="AJ43" i="3" s="1"/>
  <c r="U44" i="3"/>
  <c r="AE44" i="3" s="1"/>
  <c r="Z44" i="3"/>
  <c r="AJ44" i="3" s="1"/>
  <c r="U45" i="3"/>
  <c r="AE45" i="3" s="1"/>
  <c r="Z45" i="3"/>
  <c r="AJ45" i="3" s="1"/>
  <c r="U46" i="3"/>
  <c r="AE46" i="3" s="1"/>
  <c r="Z46" i="3"/>
  <c r="AJ46" i="3" s="1"/>
  <c r="U47" i="3"/>
  <c r="AE47" i="3" s="1"/>
  <c r="Z47" i="3"/>
  <c r="AJ47" i="3" s="1"/>
  <c r="U48" i="3"/>
  <c r="AE48" i="3" s="1"/>
  <c r="Z48" i="3"/>
  <c r="AJ48" i="3" s="1"/>
  <c r="U49" i="3"/>
  <c r="AE49" i="3" s="1"/>
  <c r="Z49" i="3"/>
  <c r="AJ49" i="3" s="1"/>
  <c r="U50" i="3"/>
  <c r="AE50" i="3" s="1"/>
  <c r="Z50" i="3"/>
  <c r="AJ50" i="3" s="1"/>
  <c r="U51" i="3"/>
  <c r="AE51" i="3" s="1"/>
  <c r="Z51" i="3"/>
  <c r="AJ51" i="3" s="1"/>
  <c r="U52" i="3"/>
  <c r="AE52" i="3" s="1"/>
  <c r="Z52" i="3"/>
  <c r="AJ52" i="3" s="1"/>
  <c r="U53" i="3"/>
  <c r="AE53" i="3" s="1"/>
  <c r="Z53" i="3"/>
  <c r="AJ53" i="3" s="1"/>
  <c r="U54" i="3"/>
  <c r="AE54" i="3" s="1"/>
  <c r="Z54" i="3"/>
  <c r="AJ54" i="3" s="1"/>
  <c r="U55" i="3"/>
  <c r="AE55" i="3" s="1"/>
  <c r="Z55" i="3"/>
  <c r="AJ55" i="3" s="1"/>
  <c r="U56" i="3"/>
  <c r="AE56" i="3" s="1"/>
  <c r="Z56" i="3"/>
  <c r="AJ56" i="3" s="1"/>
  <c r="U57" i="3"/>
  <c r="AE57" i="3" s="1"/>
  <c r="Z57" i="3"/>
  <c r="AJ57" i="3" s="1"/>
  <c r="U58" i="3"/>
  <c r="AE58" i="3" s="1"/>
  <c r="Z58" i="3"/>
  <c r="AJ58" i="3" s="1"/>
  <c r="U59" i="3"/>
  <c r="AE59" i="3" s="1"/>
  <c r="Z59" i="3"/>
  <c r="AJ59" i="3" s="1"/>
  <c r="U60" i="3"/>
  <c r="AE60" i="3" s="1"/>
  <c r="Z60" i="3"/>
  <c r="AJ60" i="3" s="1"/>
  <c r="U61" i="3"/>
  <c r="AE61" i="3" s="1"/>
  <c r="Z61" i="3"/>
  <c r="AJ61" i="3" s="1"/>
  <c r="U62" i="3"/>
  <c r="AE62" i="3" s="1"/>
  <c r="Z62" i="3"/>
  <c r="AJ62" i="3" s="1"/>
  <c r="U63" i="3"/>
  <c r="AE63" i="3" s="1"/>
  <c r="Z63" i="3"/>
  <c r="AJ63" i="3" s="1"/>
  <c r="U64" i="3"/>
  <c r="AE64" i="3" s="1"/>
  <c r="Z64" i="3"/>
  <c r="AJ64" i="3" s="1"/>
  <c r="AJ2" i="3"/>
  <c r="U2" i="3"/>
  <c r="AE2" i="3" s="1"/>
  <c r="AJ3" i="1"/>
  <c r="AK3" i="1"/>
  <c r="AL3" i="1"/>
  <c r="AM3" i="1"/>
  <c r="AO3" i="1"/>
  <c r="AP3" i="1"/>
  <c r="AQ3" i="1"/>
  <c r="AR3" i="1"/>
  <c r="AJ4" i="1"/>
  <c r="AK4" i="1"/>
  <c r="AL4" i="1"/>
  <c r="AM4" i="1"/>
  <c r="AO4" i="1"/>
  <c r="AP4" i="1"/>
  <c r="AQ4" i="1"/>
  <c r="AR4" i="1"/>
  <c r="AJ5" i="1"/>
  <c r="AK5" i="1"/>
  <c r="AL5" i="1"/>
  <c r="AM5" i="1"/>
  <c r="AO5" i="1"/>
  <c r="AP5" i="1"/>
  <c r="AQ5" i="1"/>
  <c r="AR5" i="1"/>
  <c r="AJ6" i="1"/>
  <c r="AK6" i="1"/>
  <c r="AL6" i="1"/>
  <c r="AM6" i="1"/>
  <c r="AO6" i="1"/>
  <c r="AP6" i="1"/>
  <c r="AQ6" i="1"/>
  <c r="AR6" i="1"/>
  <c r="AJ7" i="1"/>
  <c r="AK7" i="1"/>
  <c r="AL7" i="1"/>
  <c r="AM7" i="1"/>
  <c r="AO7" i="1"/>
  <c r="AP7" i="1"/>
  <c r="AQ7" i="1"/>
  <c r="AR7" i="1"/>
  <c r="AJ8" i="1"/>
  <c r="AK8" i="1"/>
  <c r="AL8" i="1"/>
  <c r="AM8" i="1"/>
  <c r="AO8" i="1"/>
  <c r="AP8" i="1"/>
  <c r="AQ8" i="1"/>
  <c r="AR8" i="1"/>
  <c r="AJ9" i="1"/>
  <c r="AK9" i="1"/>
  <c r="AL9" i="1"/>
  <c r="AM9" i="1"/>
  <c r="AO9" i="1"/>
  <c r="AP9" i="1"/>
  <c r="AQ9" i="1"/>
  <c r="AR9" i="1"/>
  <c r="AJ10" i="1"/>
  <c r="AK10" i="1"/>
  <c r="AL10" i="1"/>
  <c r="AM10" i="1"/>
  <c r="AO10" i="1"/>
  <c r="AP10" i="1"/>
  <c r="AQ10" i="1"/>
  <c r="AR10" i="1"/>
  <c r="AJ11" i="1"/>
  <c r="AK11" i="1"/>
  <c r="AL11" i="1"/>
  <c r="AM11" i="1"/>
  <c r="AO11" i="1"/>
  <c r="AP11" i="1"/>
  <c r="AQ11" i="1"/>
  <c r="AR11" i="1"/>
  <c r="AJ12" i="1"/>
  <c r="AK12" i="1"/>
  <c r="AL12" i="1"/>
  <c r="AM12" i="1"/>
  <c r="AO12" i="1"/>
  <c r="AP12" i="1"/>
  <c r="AQ12" i="1"/>
  <c r="AR12" i="1"/>
  <c r="AJ13" i="1"/>
  <c r="AK13" i="1"/>
  <c r="AL13" i="1"/>
  <c r="AM13" i="1"/>
  <c r="AO13" i="1"/>
  <c r="AP13" i="1"/>
  <c r="AQ13" i="1"/>
  <c r="AR13" i="1"/>
  <c r="AJ14" i="1"/>
  <c r="AK14" i="1"/>
  <c r="AL14" i="1"/>
  <c r="AM14" i="1"/>
  <c r="AO14" i="1"/>
  <c r="AP14" i="1"/>
  <c r="AQ14" i="1"/>
  <c r="AR14" i="1"/>
  <c r="AJ15" i="1"/>
  <c r="AK15" i="1"/>
  <c r="AL15" i="1"/>
  <c r="AM15" i="1"/>
  <c r="AO15" i="1"/>
  <c r="AP15" i="1"/>
  <c r="AQ15" i="1"/>
  <c r="AR15" i="1"/>
  <c r="AJ16" i="1"/>
  <c r="AK16" i="1"/>
  <c r="AL16" i="1"/>
  <c r="AM16" i="1"/>
  <c r="AO16" i="1"/>
  <c r="AP16" i="1"/>
  <c r="AQ16" i="1"/>
  <c r="AR16" i="1"/>
  <c r="AJ17" i="1"/>
  <c r="AK17" i="1"/>
  <c r="AL17" i="1"/>
  <c r="AM17" i="1"/>
  <c r="AO17" i="1"/>
  <c r="AP17" i="1"/>
  <c r="AQ17" i="1"/>
  <c r="AR17" i="1"/>
  <c r="AJ18" i="1"/>
  <c r="AK18" i="1"/>
  <c r="AL18" i="1"/>
  <c r="AM18" i="1"/>
  <c r="AO18" i="1"/>
  <c r="AP18" i="1"/>
  <c r="AQ18" i="1"/>
  <c r="AR18" i="1"/>
  <c r="AJ19" i="1"/>
  <c r="AK19" i="1"/>
  <c r="AL19" i="1"/>
  <c r="AM19" i="1"/>
  <c r="AO19" i="1"/>
  <c r="AP19" i="1"/>
  <c r="AQ19" i="1"/>
  <c r="AR19" i="1"/>
  <c r="AJ20" i="1"/>
  <c r="AK20" i="1"/>
  <c r="AL20" i="1"/>
  <c r="AM20" i="1"/>
  <c r="AO20" i="1"/>
  <c r="AP20" i="1"/>
  <c r="AQ20" i="1"/>
  <c r="AR20" i="1"/>
  <c r="AJ21" i="1"/>
  <c r="AK21" i="1"/>
  <c r="AL21" i="1"/>
  <c r="AM21" i="1"/>
  <c r="AO21" i="1"/>
  <c r="AP21" i="1"/>
  <c r="AQ21" i="1"/>
  <c r="AR21" i="1"/>
  <c r="AJ22" i="1"/>
  <c r="AK22" i="1"/>
  <c r="AL22" i="1"/>
  <c r="AM22" i="1"/>
  <c r="AO22" i="1"/>
  <c r="AP22" i="1"/>
  <c r="AQ22" i="1"/>
  <c r="AR22" i="1"/>
  <c r="AJ23" i="1"/>
  <c r="AK23" i="1"/>
  <c r="AL23" i="1"/>
  <c r="AM23" i="1"/>
  <c r="AO23" i="1"/>
  <c r="AP23" i="1"/>
  <c r="AQ23" i="1"/>
  <c r="AR23" i="1"/>
  <c r="AJ24" i="1"/>
  <c r="AK24" i="1"/>
  <c r="AL24" i="1"/>
  <c r="AM24" i="1"/>
  <c r="AO24" i="1"/>
  <c r="AP24" i="1"/>
  <c r="AQ24" i="1"/>
  <c r="AR24" i="1"/>
  <c r="AJ25" i="1"/>
  <c r="AK25" i="1"/>
  <c r="AL25" i="1"/>
  <c r="AM25" i="1"/>
  <c r="AO25" i="1"/>
  <c r="AP25" i="1"/>
  <c r="AQ25" i="1"/>
  <c r="AR25" i="1"/>
  <c r="AJ26" i="1"/>
  <c r="AK26" i="1"/>
  <c r="AL26" i="1"/>
  <c r="AM26" i="1"/>
  <c r="AO26" i="1"/>
  <c r="AP26" i="1"/>
  <c r="AQ26" i="1"/>
  <c r="AR26" i="1"/>
  <c r="AJ27" i="1"/>
  <c r="AK27" i="1"/>
  <c r="AL27" i="1"/>
  <c r="AM27" i="1"/>
  <c r="AO27" i="1"/>
  <c r="AP27" i="1"/>
  <c r="AQ27" i="1"/>
  <c r="AR27" i="1"/>
  <c r="AJ28" i="1"/>
  <c r="AK28" i="1"/>
  <c r="AL28" i="1"/>
  <c r="AM28" i="1"/>
  <c r="AO28" i="1"/>
  <c r="AP28" i="1"/>
  <c r="AQ28" i="1"/>
  <c r="AR28" i="1"/>
  <c r="AJ29" i="1"/>
  <c r="AK29" i="1"/>
  <c r="AL29" i="1"/>
  <c r="AM29" i="1"/>
  <c r="AO29" i="1"/>
  <c r="AP29" i="1"/>
  <c r="AQ29" i="1"/>
  <c r="AR29" i="1"/>
  <c r="AJ30" i="1"/>
  <c r="AK30" i="1"/>
  <c r="AL30" i="1"/>
  <c r="AM30" i="1"/>
  <c r="AO30" i="1"/>
  <c r="AP30" i="1"/>
  <c r="AQ30" i="1"/>
  <c r="AR30" i="1"/>
  <c r="AJ31" i="1"/>
  <c r="AK31" i="1"/>
  <c r="AL31" i="1"/>
  <c r="AM31" i="1"/>
  <c r="AO31" i="1"/>
  <c r="AP31" i="1"/>
  <c r="AQ31" i="1"/>
  <c r="AR31" i="1"/>
  <c r="AJ32" i="1"/>
  <c r="AK32" i="1"/>
  <c r="AL32" i="1"/>
  <c r="AM32" i="1"/>
  <c r="AO32" i="1"/>
  <c r="AP32" i="1"/>
  <c r="AQ32" i="1"/>
  <c r="AR32" i="1"/>
  <c r="AJ33" i="1"/>
  <c r="AK33" i="1"/>
  <c r="AL33" i="1"/>
  <c r="AM33" i="1"/>
  <c r="AO33" i="1"/>
  <c r="AP33" i="1"/>
  <c r="AQ33" i="1"/>
  <c r="AR33" i="1"/>
  <c r="AJ34" i="1"/>
  <c r="AK34" i="1"/>
  <c r="AL34" i="1"/>
  <c r="AM34" i="1"/>
  <c r="AO34" i="1"/>
  <c r="AP34" i="1"/>
  <c r="AQ34" i="1"/>
  <c r="AR34" i="1"/>
  <c r="AJ35" i="1"/>
  <c r="AK35" i="1"/>
  <c r="AL35" i="1"/>
  <c r="AM35" i="1"/>
  <c r="AO35" i="1"/>
  <c r="AP35" i="1"/>
  <c r="AQ35" i="1"/>
  <c r="AR35" i="1"/>
  <c r="AJ36" i="1"/>
  <c r="AK36" i="1"/>
  <c r="AL36" i="1"/>
  <c r="AM36" i="1"/>
  <c r="AO36" i="1"/>
  <c r="AP36" i="1"/>
  <c r="AQ36" i="1"/>
  <c r="AR36" i="1"/>
  <c r="AJ37" i="1"/>
  <c r="AK37" i="1"/>
  <c r="AL37" i="1"/>
  <c r="AM37" i="1"/>
  <c r="AO37" i="1"/>
  <c r="AP37" i="1"/>
  <c r="AQ37" i="1"/>
  <c r="AR37" i="1"/>
  <c r="AJ38" i="1"/>
  <c r="AK38" i="1"/>
  <c r="AL38" i="1"/>
  <c r="AM38" i="1"/>
  <c r="AO38" i="1"/>
  <c r="AP38" i="1"/>
  <c r="AQ38" i="1"/>
  <c r="AR38" i="1"/>
  <c r="AJ39" i="1"/>
  <c r="AK39" i="1"/>
  <c r="AL39" i="1"/>
  <c r="AM39" i="1"/>
  <c r="AO39" i="1"/>
  <c r="AP39" i="1"/>
  <c r="AQ39" i="1"/>
  <c r="AR39" i="1"/>
  <c r="AJ40" i="1"/>
  <c r="AK40" i="1"/>
  <c r="AL40" i="1"/>
  <c r="AM40" i="1"/>
  <c r="AO40" i="1"/>
  <c r="AP40" i="1"/>
  <c r="AQ40" i="1"/>
  <c r="AR40" i="1"/>
  <c r="AJ41" i="1"/>
  <c r="AK41" i="1"/>
  <c r="AL41" i="1"/>
  <c r="AM41" i="1"/>
  <c r="AO41" i="1"/>
  <c r="AP41" i="1"/>
  <c r="AQ41" i="1"/>
  <c r="AR41" i="1"/>
  <c r="AJ42" i="1"/>
  <c r="AK42" i="1"/>
  <c r="AL42" i="1"/>
  <c r="AM42" i="1"/>
  <c r="AO42" i="1"/>
  <c r="AP42" i="1"/>
  <c r="AQ42" i="1"/>
  <c r="AR42" i="1"/>
  <c r="AJ43" i="1"/>
  <c r="AK43" i="1"/>
  <c r="AL43" i="1"/>
  <c r="AM43" i="1"/>
  <c r="AO43" i="1"/>
  <c r="AP43" i="1"/>
  <c r="AQ43" i="1"/>
  <c r="AR43" i="1"/>
  <c r="AJ44" i="1"/>
  <c r="AK44" i="1"/>
  <c r="AL44" i="1"/>
  <c r="AM44" i="1"/>
  <c r="AO44" i="1"/>
  <c r="AP44" i="1"/>
  <c r="AQ44" i="1"/>
  <c r="AR44" i="1"/>
  <c r="AJ45" i="1"/>
  <c r="AK45" i="1"/>
  <c r="AL45" i="1"/>
  <c r="AM45" i="1"/>
  <c r="AO45" i="1"/>
  <c r="AP45" i="1"/>
  <c r="AQ45" i="1"/>
  <c r="AR45" i="1"/>
  <c r="AJ46" i="1"/>
  <c r="AK46" i="1"/>
  <c r="AL46" i="1"/>
  <c r="AM46" i="1"/>
  <c r="AO46" i="1"/>
  <c r="AP46" i="1"/>
  <c r="AQ46" i="1"/>
  <c r="AR46" i="1"/>
  <c r="AJ47" i="1"/>
  <c r="AK47" i="1"/>
  <c r="AL47" i="1"/>
  <c r="AM47" i="1"/>
  <c r="AO47" i="1"/>
  <c r="AP47" i="1"/>
  <c r="AQ47" i="1"/>
  <c r="AR47" i="1"/>
  <c r="AJ48" i="1"/>
  <c r="AK48" i="1"/>
  <c r="AL48" i="1"/>
  <c r="AM48" i="1"/>
  <c r="AO48" i="1"/>
  <c r="AP48" i="1"/>
  <c r="AQ48" i="1"/>
  <c r="AR48" i="1"/>
  <c r="AJ49" i="1"/>
  <c r="AK49" i="1"/>
  <c r="AL49" i="1"/>
  <c r="AM49" i="1"/>
  <c r="AO49" i="1"/>
  <c r="AP49" i="1"/>
  <c r="AQ49" i="1"/>
  <c r="AR49" i="1"/>
  <c r="AJ50" i="1"/>
  <c r="AK50" i="1"/>
  <c r="AL50" i="1"/>
  <c r="AM50" i="1"/>
  <c r="AO50" i="1"/>
  <c r="AP50" i="1"/>
  <c r="AQ50" i="1"/>
  <c r="AR50" i="1"/>
  <c r="AJ51" i="1"/>
  <c r="AK51" i="1"/>
  <c r="AL51" i="1"/>
  <c r="AM51" i="1"/>
  <c r="AO51" i="1"/>
  <c r="AP51" i="1"/>
  <c r="AQ51" i="1"/>
  <c r="AR51" i="1"/>
  <c r="AJ52" i="1"/>
  <c r="AK52" i="1"/>
  <c r="AL52" i="1"/>
  <c r="AM52" i="1"/>
  <c r="AO52" i="1"/>
  <c r="AP52" i="1"/>
  <c r="AQ52" i="1"/>
  <c r="AR52" i="1"/>
  <c r="AJ53" i="1"/>
  <c r="AK53" i="1"/>
  <c r="AL53" i="1"/>
  <c r="AM53" i="1"/>
  <c r="AO53" i="1"/>
  <c r="AP53" i="1"/>
  <c r="AQ53" i="1"/>
  <c r="AR53" i="1"/>
  <c r="AJ54" i="1"/>
  <c r="AK54" i="1"/>
  <c r="AL54" i="1"/>
  <c r="AM54" i="1"/>
  <c r="AO54" i="1"/>
  <c r="AP54" i="1"/>
  <c r="AQ54" i="1"/>
  <c r="AR54" i="1"/>
  <c r="AJ55" i="1"/>
  <c r="AK55" i="1"/>
  <c r="AL55" i="1"/>
  <c r="AM55" i="1"/>
  <c r="AO55" i="1"/>
  <c r="AP55" i="1"/>
  <c r="AQ55" i="1"/>
  <c r="AR55" i="1"/>
  <c r="AJ56" i="1"/>
  <c r="AK56" i="1"/>
  <c r="AL56" i="1"/>
  <c r="AM56" i="1"/>
  <c r="AO56" i="1"/>
  <c r="AP56" i="1"/>
  <c r="AQ56" i="1"/>
  <c r="AR56" i="1"/>
  <c r="AJ57" i="1"/>
  <c r="AK57" i="1"/>
  <c r="AL57" i="1"/>
  <c r="AM57" i="1"/>
  <c r="AO57" i="1"/>
  <c r="AP57" i="1"/>
  <c r="AQ57" i="1"/>
  <c r="AR57" i="1"/>
  <c r="AJ58" i="1"/>
  <c r="AK58" i="1"/>
  <c r="AL58" i="1"/>
  <c r="AM58" i="1"/>
  <c r="AO58" i="1"/>
  <c r="AP58" i="1"/>
  <c r="AQ58" i="1"/>
  <c r="AR58" i="1"/>
  <c r="AJ59" i="1"/>
  <c r="AK59" i="1"/>
  <c r="AL59" i="1"/>
  <c r="AM59" i="1"/>
  <c r="AO59" i="1"/>
  <c r="AP59" i="1"/>
  <c r="AQ59" i="1"/>
  <c r="AR59" i="1"/>
  <c r="AJ60" i="1"/>
  <c r="AK60" i="1"/>
  <c r="AL60" i="1"/>
  <c r="AM60" i="1"/>
  <c r="AO60" i="1"/>
  <c r="AP60" i="1"/>
  <c r="AQ60" i="1"/>
  <c r="AR60" i="1"/>
  <c r="AJ61" i="1"/>
  <c r="AK61" i="1"/>
  <c r="AL61" i="1"/>
  <c r="AM61" i="1"/>
  <c r="AO61" i="1"/>
  <c r="AP61" i="1"/>
  <c r="AQ61" i="1"/>
  <c r="AR61" i="1"/>
  <c r="AJ62" i="1"/>
  <c r="AK62" i="1"/>
  <c r="AL62" i="1"/>
  <c r="AM62" i="1"/>
  <c r="AO62" i="1"/>
  <c r="AP62" i="1"/>
  <c r="AQ62" i="1"/>
  <c r="AR62" i="1"/>
  <c r="AJ63" i="1"/>
  <c r="AK63" i="1"/>
  <c r="AL63" i="1"/>
  <c r="AM63" i="1"/>
  <c r="AO63" i="1"/>
  <c r="AP63" i="1"/>
  <c r="AQ63" i="1"/>
  <c r="AR63" i="1"/>
  <c r="AJ64" i="1"/>
  <c r="AK64" i="1"/>
  <c r="AL64" i="1"/>
  <c r="AM64" i="1"/>
  <c r="AO64" i="1"/>
  <c r="AP64" i="1"/>
  <c r="AQ64" i="1"/>
  <c r="AR64" i="1"/>
  <c r="AP2" i="1"/>
  <c r="AQ2" i="1"/>
  <c r="AR2" i="1"/>
  <c r="AO2" i="1"/>
  <c r="AK2" i="1"/>
  <c r="AL2" i="1"/>
  <c r="AM2" i="1"/>
  <c r="AJ2" i="1"/>
  <c r="K3" i="2" l="1"/>
  <c r="R67" i="2"/>
  <c r="R66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AJ3" i="3"/>
  <c r="AE3" i="3"/>
  <c r="AH3" i="3"/>
  <c r="AG3" i="3"/>
  <c r="AF3" i="3"/>
  <c r="AM3" i="3"/>
  <c r="AL3" i="3"/>
  <c r="AK3" i="3"/>
</calcChain>
</file>

<file path=xl/sharedStrings.xml><?xml version="1.0" encoding="utf-8"?>
<sst xmlns="http://schemas.openxmlformats.org/spreadsheetml/2006/main" count="62" uniqueCount="51">
  <si>
    <t>Start time</t>
  </si>
  <si>
    <t>14:04 PM</t>
  </si>
  <si>
    <t>Number of motorcycles is not accurate</t>
  </si>
  <si>
    <t>This statistics is less accurate than statistics at the exit</t>
  </si>
  <si>
    <t>veh/hr</t>
  </si>
  <si>
    <t>count time (s)</t>
  </si>
  <si>
    <t>main road_car</t>
  </si>
  <si>
    <t>main road_motorcycle</t>
  </si>
  <si>
    <t>main road_bus</t>
  </si>
  <si>
    <t>main_road_truck</t>
  </si>
  <si>
    <t>merge_car</t>
  </si>
  <si>
    <t>merge_motorcycle</t>
  </si>
  <si>
    <t>merge_bus</t>
  </si>
  <si>
    <t>merge_truck</t>
  </si>
  <si>
    <t>main road total (without motorcycles)</t>
  </si>
  <si>
    <t>merge total (without motorcycles)</t>
  </si>
  <si>
    <t>total (without motorcycles)</t>
  </si>
  <si>
    <t>timestamp</t>
  </si>
  <si>
    <t>video_time_sec</t>
  </si>
  <si>
    <t>line_1_down_car</t>
  </si>
  <si>
    <t>line_1_down_motorcycle</t>
  </si>
  <si>
    <t>line_1_down_bus</t>
  </si>
  <si>
    <t>line_1_down_truck</t>
  </si>
  <si>
    <t>line_2_down_car</t>
  </si>
  <si>
    <t>line_2_down_motorcycle</t>
  </si>
  <si>
    <t>line_2_down_bus</t>
  </si>
  <si>
    <t>line_2_down_truck</t>
  </si>
  <si>
    <t>line_3_left_car</t>
  </si>
  <si>
    <t>line_3_left_motorcycle</t>
  </si>
  <si>
    <t>line_3_left_bus</t>
  </si>
  <si>
    <t>line_3_left_truck</t>
  </si>
  <si>
    <t>line_4_left_car</t>
  </si>
  <si>
    <t>line_4_left_motorcycle</t>
  </si>
  <si>
    <t>line_4_left_bus</t>
  </si>
  <si>
    <t>line_4_left_truck</t>
  </si>
  <si>
    <t>line_5_left_car</t>
  </si>
  <si>
    <t>line_5_left_motorcycle</t>
  </si>
  <si>
    <t>line_5_left_bus</t>
  </si>
  <si>
    <t>line_5_left_truck</t>
  </si>
  <si>
    <t>line_6_right_car</t>
  </si>
  <si>
    <t>line_6_right_motorcycle</t>
  </si>
  <si>
    <t>line_6_right_bus</t>
  </si>
  <si>
    <t>line_6_right_truck</t>
  </si>
  <si>
    <t>line_7_right_car</t>
  </si>
  <si>
    <t>line_7_right_motorcycle</t>
  </si>
  <si>
    <t>line_7_right_bus</t>
  </si>
  <si>
    <t>line_7_right_truck</t>
  </si>
  <si>
    <t>line_8_right_car</t>
  </si>
  <si>
    <t>line_8_right_motorcycle</t>
  </si>
  <si>
    <t>line_8_right_bus</t>
  </si>
  <si>
    <t>line_8_right_truck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</si>
</sst>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22" fontId="0" fillId="0" borderId="0" xfId="0" applyNumberFormat="1">
      <alignment vertical="center"/>
    </xf>
    <xf numFmtId="16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19" fillId="33" borderId="0" xfId="0" applyFont="1" applyFill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Results!$K$5</c:f>
              <c:strCache>
                <c:ptCount val="1"/>
                <c:pt idx="0">
                  <c:v>main road total (without motorcycles)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10"/>
            <c:dispRSqr val="0"/>
            <c:dispEq val="0"/>
          </c:trendline>
          <c:cat>
            <c:numRef>
              <c:f>Results!$A$6:$A$67</c:f>
              <c:numCache>
                <c:formatCode>General</c:formatCode>
                <c:ptCount val="62"/>
                <c:pt idx="0">
                  <c:v>60.04</c:v>
                </c:pt>
                <c:pt idx="1">
                  <c:v>120.08000000000001</c:v>
                </c:pt>
                <c:pt idx="2">
                  <c:v>180.12</c:v>
                </c:pt>
                <c:pt idx="3">
                  <c:v>240.16</c:v>
                </c:pt>
                <c:pt idx="4">
                  <c:v>300.2</c:v>
                </c:pt>
                <c:pt idx="5">
                  <c:v>360.23999999999995</c:v>
                </c:pt>
                <c:pt idx="6">
                  <c:v>420.28999999999996</c:v>
                </c:pt>
                <c:pt idx="7">
                  <c:v>480.33</c:v>
                </c:pt>
                <c:pt idx="8">
                  <c:v>540.37</c:v>
                </c:pt>
                <c:pt idx="9">
                  <c:v>600.41000000000008</c:v>
                </c:pt>
                <c:pt idx="10">
                  <c:v>660.45</c:v>
                </c:pt>
                <c:pt idx="11">
                  <c:v>720.49</c:v>
                </c:pt>
                <c:pt idx="12">
                  <c:v>780.53000000000009</c:v>
                </c:pt>
                <c:pt idx="13">
                  <c:v>840.57</c:v>
                </c:pt>
                <c:pt idx="14">
                  <c:v>900.61</c:v>
                </c:pt>
                <c:pt idx="15">
                  <c:v>960.65000000000009</c:v>
                </c:pt>
                <c:pt idx="16">
                  <c:v>1020.69</c:v>
                </c:pt>
                <c:pt idx="17">
                  <c:v>1080.73</c:v>
                </c:pt>
                <c:pt idx="18">
                  <c:v>1140.77</c:v>
                </c:pt>
                <c:pt idx="19">
                  <c:v>1200.81</c:v>
                </c:pt>
                <c:pt idx="20">
                  <c:v>1260.8600000000001</c:v>
                </c:pt>
                <c:pt idx="21">
                  <c:v>1320.9</c:v>
                </c:pt>
                <c:pt idx="22">
                  <c:v>1380.94</c:v>
                </c:pt>
                <c:pt idx="23">
                  <c:v>1440.98</c:v>
                </c:pt>
                <c:pt idx="24">
                  <c:v>1500</c:v>
                </c:pt>
                <c:pt idx="25">
                  <c:v>1561.06</c:v>
                </c:pt>
                <c:pt idx="26">
                  <c:v>1621.1000000000001</c:v>
                </c:pt>
                <c:pt idx="27">
                  <c:v>1681.14</c:v>
                </c:pt>
                <c:pt idx="28">
                  <c:v>1741.18</c:v>
                </c:pt>
                <c:pt idx="29">
                  <c:v>1801.22</c:v>
                </c:pt>
                <c:pt idx="30">
                  <c:v>1861.26</c:v>
                </c:pt>
                <c:pt idx="31">
                  <c:v>1921.3</c:v>
                </c:pt>
                <c:pt idx="32">
                  <c:v>1981.3400000000001</c:v>
                </c:pt>
                <c:pt idx="33">
                  <c:v>2041.38</c:v>
                </c:pt>
                <c:pt idx="34">
                  <c:v>2101.42</c:v>
                </c:pt>
                <c:pt idx="35">
                  <c:v>2161.4700000000003</c:v>
                </c:pt>
                <c:pt idx="36">
                  <c:v>2221.5100000000002</c:v>
                </c:pt>
                <c:pt idx="37">
                  <c:v>2281.5500000000002</c:v>
                </c:pt>
                <c:pt idx="38">
                  <c:v>2341.59</c:v>
                </c:pt>
                <c:pt idx="39">
                  <c:v>2401.63</c:v>
                </c:pt>
                <c:pt idx="40">
                  <c:v>2461.67</c:v>
                </c:pt>
                <c:pt idx="41">
                  <c:v>2521.71</c:v>
                </c:pt>
                <c:pt idx="42">
                  <c:v>2581.75</c:v>
                </c:pt>
                <c:pt idx="43">
                  <c:v>2641.79</c:v>
                </c:pt>
                <c:pt idx="44">
                  <c:v>2701.83</c:v>
                </c:pt>
                <c:pt idx="45">
                  <c:v>2761.87</c:v>
                </c:pt>
                <c:pt idx="46">
                  <c:v>2821.91</c:v>
                </c:pt>
                <c:pt idx="47">
                  <c:v>2881.95</c:v>
                </c:pt>
                <c:pt idx="48">
                  <c:v>2941.9900000000002</c:v>
                </c:pt>
                <c:pt idx="49">
                  <c:v>3002.04</c:v>
                </c:pt>
                <c:pt idx="50">
                  <c:v>3062.08</c:v>
                </c:pt>
                <c:pt idx="51">
                  <c:v>3122.12</c:v>
                </c:pt>
                <c:pt idx="52">
                  <c:v>3182.16</c:v>
                </c:pt>
                <c:pt idx="53">
                  <c:v>3242.2</c:v>
                </c:pt>
                <c:pt idx="54">
                  <c:v>3302.2400000000002</c:v>
                </c:pt>
                <c:pt idx="55">
                  <c:v>3362.28</c:v>
                </c:pt>
                <c:pt idx="56">
                  <c:v>3422.32</c:v>
                </c:pt>
                <c:pt idx="57">
                  <c:v>3482.36</c:v>
                </c:pt>
                <c:pt idx="58">
                  <c:v>3542.4</c:v>
                </c:pt>
                <c:pt idx="59">
                  <c:v>3600</c:v>
                </c:pt>
                <c:pt idx="60">
                  <c:v>3662.48</c:v>
                </c:pt>
                <c:pt idx="61">
                  <c:v>3722.52</c:v>
                </c:pt>
              </c:numCache>
            </c:numRef>
          </c:cat>
          <c:val>
            <c:numRef>
              <c:f>Results!$K$6:$K$67</c:f>
              <c:numCache>
                <c:formatCode>General</c:formatCode>
                <c:ptCount val="62"/>
                <c:pt idx="0">
                  <c:v>53</c:v>
                </c:pt>
                <c:pt idx="1">
                  <c:v>46</c:v>
                </c:pt>
                <c:pt idx="2">
                  <c:v>64</c:v>
                </c:pt>
                <c:pt idx="3">
                  <c:v>76</c:v>
                </c:pt>
                <c:pt idx="4">
                  <c:v>63</c:v>
                </c:pt>
                <c:pt idx="5">
                  <c:v>62</c:v>
                </c:pt>
                <c:pt idx="6">
                  <c:v>67</c:v>
                </c:pt>
                <c:pt idx="7">
                  <c:v>82</c:v>
                </c:pt>
                <c:pt idx="8">
                  <c:v>67</c:v>
                </c:pt>
                <c:pt idx="9">
                  <c:v>72</c:v>
                </c:pt>
                <c:pt idx="10">
                  <c:v>61</c:v>
                </c:pt>
                <c:pt idx="11">
                  <c:v>54</c:v>
                </c:pt>
                <c:pt idx="12">
                  <c:v>63</c:v>
                </c:pt>
                <c:pt idx="13">
                  <c:v>78</c:v>
                </c:pt>
                <c:pt idx="14">
                  <c:v>70</c:v>
                </c:pt>
                <c:pt idx="15">
                  <c:v>66</c:v>
                </c:pt>
                <c:pt idx="16">
                  <c:v>65</c:v>
                </c:pt>
                <c:pt idx="17">
                  <c:v>61</c:v>
                </c:pt>
                <c:pt idx="18">
                  <c:v>67</c:v>
                </c:pt>
                <c:pt idx="19">
                  <c:v>80</c:v>
                </c:pt>
                <c:pt idx="20">
                  <c:v>69</c:v>
                </c:pt>
                <c:pt idx="21">
                  <c:v>73</c:v>
                </c:pt>
                <c:pt idx="22">
                  <c:v>92</c:v>
                </c:pt>
                <c:pt idx="23">
                  <c:v>58</c:v>
                </c:pt>
                <c:pt idx="25">
                  <c:v>53</c:v>
                </c:pt>
                <c:pt idx="26">
                  <c:v>55</c:v>
                </c:pt>
                <c:pt idx="27">
                  <c:v>51</c:v>
                </c:pt>
                <c:pt idx="28">
                  <c:v>66</c:v>
                </c:pt>
                <c:pt idx="29">
                  <c:v>68</c:v>
                </c:pt>
                <c:pt idx="30">
                  <c:v>58</c:v>
                </c:pt>
                <c:pt idx="31">
                  <c:v>65</c:v>
                </c:pt>
                <c:pt idx="32">
                  <c:v>63</c:v>
                </c:pt>
                <c:pt idx="33">
                  <c:v>76</c:v>
                </c:pt>
                <c:pt idx="34">
                  <c:v>90</c:v>
                </c:pt>
                <c:pt idx="35">
                  <c:v>74</c:v>
                </c:pt>
                <c:pt idx="36">
                  <c:v>62</c:v>
                </c:pt>
                <c:pt idx="37">
                  <c:v>55</c:v>
                </c:pt>
                <c:pt idx="38">
                  <c:v>50</c:v>
                </c:pt>
                <c:pt idx="39">
                  <c:v>78</c:v>
                </c:pt>
                <c:pt idx="40">
                  <c:v>68</c:v>
                </c:pt>
                <c:pt idx="41">
                  <c:v>65</c:v>
                </c:pt>
                <c:pt idx="42">
                  <c:v>62</c:v>
                </c:pt>
                <c:pt idx="43">
                  <c:v>63</c:v>
                </c:pt>
                <c:pt idx="44">
                  <c:v>56</c:v>
                </c:pt>
                <c:pt idx="45">
                  <c:v>56</c:v>
                </c:pt>
                <c:pt idx="46">
                  <c:v>54</c:v>
                </c:pt>
                <c:pt idx="47">
                  <c:v>69</c:v>
                </c:pt>
                <c:pt idx="48">
                  <c:v>67</c:v>
                </c:pt>
                <c:pt idx="49">
                  <c:v>56</c:v>
                </c:pt>
                <c:pt idx="50">
                  <c:v>66</c:v>
                </c:pt>
                <c:pt idx="51">
                  <c:v>53</c:v>
                </c:pt>
                <c:pt idx="52">
                  <c:v>64</c:v>
                </c:pt>
                <c:pt idx="53">
                  <c:v>46</c:v>
                </c:pt>
                <c:pt idx="54">
                  <c:v>55</c:v>
                </c:pt>
                <c:pt idx="55">
                  <c:v>70</c:v>
                </c:pt>
                <c:pt idx="56">
                  <c:v>59</c:v>
                </c:pt>
                <c:pt idx="57">
                  <c:v>62</c:v>
                </c:pt>
                <c:pt idx="58">
                  <c:v>67</c:v>
                </c:pt>
                <c:pt idx="60">
                  <c:v>78</c:v>
                </c:pt>
                <c:pt idx="6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EB-40D4-9A07-3BA1532CAF94}"/>
            </c:ext>
          </c:extLst>
        </c:ser>
        <c:ser>
          <c:idx val="2"/>
          <c:order val="1"/>
          <c:tx>
            <c:strRef>
              <c:f>Results!$N$5</c:f>
              <c:strCache>
                <c:ptCount val="1"/>
                <c:pt idx="0">
                  <c:v>merge total (without motorcycles)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movingAvg"/>
            <c:period val="10"/>
            <c:dispRSqr val="0"/>
            <c:dispEq val="0"/>
          </c:trendline>
          <c:cat>
            <c:numRef>
              <c:f>Results!$A$6:$A$67</c:f>
              <c:numCache>
                <c:formatCode>General</c:formatCode>
                <c:ptCount val="62"/>
                <c:pt idx="0">
                  <c:v>60.04</c:v>
                </c:pt>
                <c:pt idx="1">
                  <c:v>120.08000000000001</c:v>
                </c:pt>
                <c:pt idx="2">
                  <c:v>180.12</c:v>
                </c:pt>
                <c:pt idx="3">
                  <c:v>240.16</c:v>
                </c:pt>
                <c:pt idx="4">
                  <c:v>300.2</c:v>
                </c:pt>
                <c:pt idx="5">
                  <c:v>360.23999999999995</c:v>
                </c:pt>
                <c:pt idx="6">
                  <c:v>420.28999999999996</c:v>
                </c:pt>
                <c:pt idx="7">
                  <c:v>480.33</c:v>
                </c:pt>
                <c:pt idx="8">
                  <c:v>540.37</c:v>
                </c:pt>
                <c:pt idx="9">
                  <c:v>600.41000000000008</c:v>
                </c:pt>
                <c:pt idx="10">
                  <c:v>660.45</c:v>
                </c:pt>
                <c:pt idx="11">
                  <c:v>720.49</c:v>
                </c:pt>
                <c:pt idx="12">
                  <c:v>780.53000000000009</c:v>
                </c:pt>
                <c:pt idx="13">
                  <c:v>840.57</c:v>
                </c:pt>
                <c:pt idx="14">
                  <c:v>900.61</c:v>
                </c:pt>
                <c:pt idx="15">
                  <c:v>960.65000000000009</c:v>
                </c:pt>
                <c:pt idx="16">
                  <c:v>1020.69</c:v>
                </c:pt>
                <c:pt idx="17">
                  <c:v>1080.73</c:v>
                </c:pt>
                <c:pt idx="18">
                  <c:v>1140.77</c:v>
                </c:pt>
                <c:pt idx="19">
                  <c:v>1200.81</c:v>
                </c:pt>
                <c:pt idx="20">
                  <c:v>1260.8600000000001</c:v>
                </c:pt>
                <c:pt idx="21">
                  <c:v>1320.9</c:v>
                </c:pt>
                <c:pt idx="22">
                  <c:v>1380.94</c:v>
                </c:pt>
                <c:pt idx="23">
                  <c:v>1440.98</c:v>
                </c:pt>
                <c:pt idx="24">
                  <c:v>1500</c:v>
                </c:pt>
                <c:pt idx="25">
                  <c:v>1561.06</c:v>
                </c:pt>
                <c:pt idx="26">
                  <c:v>1621.1000000000001</c:v>
                </c:pt>
                <c:pt idx="27">
                  <c:v>1681.14</c:v>
                </c:pt>
                <c:pt idx="28">
                  <c:v>1741.18</c:v>
                </c:pt>
                <c:pt idx="29">
                  <c:v>1801.22</c:v>
                </c:pt>
                <c:pt idx="30">
                  <c:v>1861.26</c:v>
                </c:pt>
                <c:pt idx="31">
                  <c:v>1921.3</c:v>
                </c:pt>
                <c:pt idx="32">
                  <c:v>1981.3400000000001</c:v>
                </c:pt>
                <c:pt idx="33">
                  <c:v>2041.38</c:v>
                </c:pt>
                <c:pt idx="34">
                  <c:v>2101.42</c:v>
                </c:pt>
                <c:pt idx="35">
                  <c:v>2161.4700000000003</c:v>
                </c:pt>
                <c:pt idx="36">
                  <c:v>2221.5100000000002</c:v>
                </c:pt>
                <c:pt idx="37">
                  <c:v>2281.5500000000002</c:v>
                </c:pt>
                <c:pt idx="38">
                  <c:v>2341.59</c:v>
                </c:pt>
                <c:pt idx="39">
                  <c:v>2401.63</c:v>
                </c:pt>
                <c:pt idx="40">
                  <c:v>2461.67</c:v>
                </c:pt>
                <c:pt idx="41">
                  <c:v>2521.71</c:v>
                </c:pt>
                <c:pt idx="42">
                  <c:v>2581.75</c:v>
                </c:pt>
                <c:pt idx="43">
                  <c:v>2641.79</c:v>
                </c:pt>
                <c:pt idx="44">
                  <c:v>2701.83</c:v>
                </c:pt>
                <c:pt idx="45">
                  <c:v>2761.87</c:v>
                </c:pt>
                <c:pt idx="46">
                  <c:v>2821.91</c:v>
                </c:pt>
                <c:pt idx="47">
                  <c:v>2881.95</c:v>
                </c:pt>
                <c:pt idx="48">
                  <c:v>2941.9900000000002</c:v>
                </c:pt>
                <c:pt idx="49">
                  <c:v>3002.04</c:v>
                </c:pt>
                <c:pt idx="50">
                  <c:v>3062.08</c:v>
                </c:pt>
                <c:pt idx="51">
                  <c:v>3122.12</c:v>
                </c:pt>
                <c:pt idx="52">
                  <c:v>3182.16</c:v>
                </c:pt>
                <c:pt idx="53">
                  <c:v>3242.2</c:v>
                </c:pt>
                <c:pt idx="54">
                  <c:v>3302.2400000000002</c:v>
                </c:pt>
                <c:pt idx="55">
                  <c:v>3362.28</c:v>
                </c:pt>
                <c:pt idx="56">
                  <c:v>3422.32</c:v>
                </c:pt>
                <c:pt idx="57">
                  <c:v>3482.36</c:v>
                </c:pt>
                <c:pt idx="58">
                  <c:v>3542.4</c:v>
                </c:pt>
                <c:pt idx="59">
                  <c:v>3600</c:v>
                </c:pt>
                <c:pt idx="60">
                  <c:v>3662.48</c:v>
                </c:pt>
                <c:pt idx="61">
                  <c:v>3722.52</c:v>
                </c:pt>
              </c:numCache>
            </c:numRef>
          </c:cat>
          <c:val>
            <c:numRef>
              <c:f>Results!$N$6:$N$67</c:f>
              <c:numCache>
                <c:formatCode>General</c:formatCode>
                <c:ptCount val="62"/>
                <c:pt idx="0">
                  <c:v>21</c:v>
                </c:pt>
                <c:pt idx="1">
                  <c:v>21</c:v>
                </c:pt>
                <c:pt idx="2">
                  <c:v>15</c:v>
                </c:pt>
                <c:pt idx="3">
                  <c:v>26</c:v>
                </c:pt>
                <c:pt idx="4">
                  <c:v>23</c:v>
                </c:pt>
                <c:pt idx="5">
                  <c:v>15</c:v>
                </c:pt>
                <c:pt idx="6">
                  <c:v>12</c:v>
                </c:pt>
                <c:pt idx="7">
                  <c:v>10</c:v>
                </c:pt>
                <c:pt idx="8">
                  <c:v>17</c:v>
                </c:pt>
                <c:pt idx="9">
                  <c:v>13</c:v>
                </c:pt>
                <c:pt idx="10">
                  <c:v>22</c:v>
                </c:pt>
                <c:pt idx="11">
                  <c:v>20</c:v>
                </c:pt>
                <c:pt idx="12">
                  <c:v>22</c:v>
                </c:pt>
                <c:pt idx="13">
                  <c:v>20</c:v>
                </c:pt>
                <c:pt idx="14">
                  <c:v>16</c:v>
                </c:pt>
                <c:pt idx="15">
                  <c:v>18</c:v>
                </c:pt>
                <c:pt idx="16">
                  <c:v>23</c:v>
                </c:pt>
                <c:pt idx="17">
                  <c:v>15</c:v>
                </c:pt>
                <c:pt idx="18">
                  <c:v>20</c:v>
                </c:pt>
                <c:pt idx="19">
                  <c:v>13</c:v>
                </c:pt>
                <c:pt idx="20">
                  <c:v>18</c:v>
                </c:pt>
                <c:pt idx="21">
                  <c:v>21</c:v>
                </c:pt>
                <c:pt idx="22">
                  <c:v>11</c:v>
                </c:pt>
                <c:pt idx="23">
                  <c:v>20</c:v>
                </c:pt>
                <c:pt idx="25">
                  <c:v>29</c:v>
                </c:pt>
                <c:pt idx="26">
                  <c:v>23</c:v>
                </c:pt>
                <c:pt idx="27">
                  <c:v>18</c:v>
                </c:pt>
                <c:pt idx="28">
                  <c:v>15</c:v>
                </c:pt>
                <c:pt idx="29">
                  <c:v>16</c:v>
                </c:pt>
                <c:pt idx="30">
                  <c:v>19</c:v>
                </c:pt>
                <c:pt idx="31">
                  <c:v>25</c:v>
                </c:pt>
                <c:pt idx="32">
                  <c:v>21</c:v>
                </c:pt>
                <c:pt idx="33">
                  <c:v>24</c:v>
                </c:pt>
                <c:pt idx="34">
                  <c:v>25</c:v>
                </c:pt>
                <c:pt idx="35">
                  <c:v>22</c:v>
                </c:pt>
                <c:pt idx="36">
                  <c:v>27</c:v>
                </c:pt>
                <c:pt idx="37">
                  <c:v>29</c:v>
                </c:pt>
                <c:pt idx="38">
                  <c:v>26</c:v>
                </c:pt>
                <c:pt idx="39">
                  <c:v>16</c:v>
                </c:pt>
                <c:pt idx="40">
                  <c:v>23</c:v>
                </c:pt>
                <c:pt idx="41">
                  <c:v>31</c:v>
                </c:pt>
                <c:pt idx="42">
                  <c:v>20</c:v>
                </c:pt>
                <c:pt idx="43">
                  <c:v>23</c:v>
                </c:pt>
                <c:pt idx="44">
                  <c:v>22</c:v>
                </c:pt>
                <c:pt idx="45">
                  <c:v>22</c:v>
                </c:pt>
                <c:pt idx="46">
                  <c:v>28</c:v>
                </c:pt>
                <c:pt idx="47">
                  <c:v>20</c:v>
                </c:pt>
                <c:pt idx="48">
                  <c:v>16</c:v>
                </c:pt>
                <c:pt idx="49">
                  <c:v>18</c:v>
                </c:pt>
                <c:pt idx="50">
                  <c:v>18</c:v>
                </c:pt>
                <c:pt idx="51">
                  <c:v>14</c:v>
                </c:pt>
                <c:pt idx="52">
                  <c:v>19</c:v>
                </c:pt>
                <c:pt idx="53">
                  <c:v>11</c:v>
                </c:pt>
                <c:pt idx="54">
                  <c:v>19</c:v>
                </c:pt>
                <c:pt idx="55">
                  <c:v>19</c:v>
                </c:pt>
                <c:pt idx="56">
                  <c:v>18</c:v>
                </c:pt>
                <c:pt idx="57">
                  <c:v>27</c:v>
                </c:pt>
                <c:pt idx="58">
                  <c:v>18</c:v>
                </c:pt>
                <c:pt idx="60">
                  <c:v>14</c:v>
                </c:pt>
                <c:pt idx="6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EB-40D4-9A07-3BA1532CA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3488904"/>
        <c:axId val="1724036104"/>
      </c:lineChart>
      <c:catAx>
        <c:axId val="1553488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36104"/>
        <c:crosses val="autoZero"/>
        <c:auto val="1"/>
        <c:lblAlgn val="ctr"/>
        <c:lblOffset val="100"/>
        <c:noMultiLvlLbl val="0"/>
      </c:catAx>
      <c:valAx>
        <c:axId val="1724036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veh/min (approx)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48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{"total (without motorcycles)"}</c:f>
              <c:strCache>
                <c:ptCount val="1"/>
                <c:pt idx="0">
                  <c:v>total (without motorcycles)</c:v>
                </c:pt>
              </c:strCache>
            </c:strRef>
          </c:tx>
          <c:spPr>
            <a:ln w="28575" cap="rnd">
              <a:solidFill>
                <a:srgbClr val="4F81BD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4F81BD"/>
                </a:solidFill>
                <a:prstDash val="sysDot"/>
              </a:ln>
              <a:effectLst/>
            </c:spPr>
            <c:trendlineType val="movingAvg"/>
            <c:period val="10"/>
            <c:dispRSqr val="0"/>
            <c:dispEq val="0"/>
          </c:trendline>
          <c:cat>
            <c:numRef>
              <c:f>Results!A6:A67</c:f>
              <c:numCache>
                <c:formatCode>General</c:formatCode>
                <c:ptCount val="62"/>
                <c:pt idx="0">
                  <c:v>60.04</c:v>
                </c:pt>
                <c:pt idx="1">
                  <c:v>120.08000000000001</c:v>
                </c:pt>
                <c:pt idx="2">
                  <c:v>180.12</c:v>
                </c:pt>
                <c:pt idx="3">
                  <c:v>240.16</c:v>
                </c:pt>
                <c:pt idx="4">
                  <c:v>300.2</c:v>
                </c:pt>
                <c:pt idx="5">
                  <c:v>360.23999999999995</c:v>
                </c:pt>
                <c:pt idx="6">
                  <c:v>420.28999999999996</c:v>
                </c:pt>
                <c:pt idx="7">
                  <c:v>480.33</c:v>
                </c:pt>
                <c:pt idx="8">
                  <c:v>540.37</c:v>
                </c:pt>
                <c:pt idx="9">
                  <c:v>600.41000000000008</c:v>
                </c:pt>
                <c:pt idx="10">
                  <c:v>660.45</c:v>
                </c:pt>
                <c:pt idx="11">
                  <c:v>720.49</c:v>
                </c:pt>
                <c:pt idx="12">
                  <c:v>780.53000000000009</c:v>
                </c:pt>
                <c:pt idx="13">
                  <c:v>840.57</c:v>
                </c:pt>
                <c:pt idx="14">
                  <c:v>900.61</c:v>
                </c:pt>
                <c:pt idx="15">
                  <c:v>960.65000000000009</c:v>
                </c:pt>
                <c:pt idx="16">
                  <c:v>1020.69</c:v>
                </c:pt>
                <c:pt idx="17">
                  <c:v>1080.73</c:v>
                </c:pt>
                <c:pt idx="18">
                  <c:v>1140.77</c:v>
                </c:pt>
                <c:pt idx="19">
                  <c:v>1200.81</c:v>
                </c:pt>
                <c:pt idx="20">
                  <c:v>1260.8600000000001</c:v>
                </c:pt>
                <c:pt idx="21">
                  <c:v>1320.9</c:v>
                </c:pt>
                <c:pt idx="22">
                  <c:v>1380.94</c:v>
                </c:pt>
                <c:pt idx="23">
                  <c:v>1440.98</c:v>
                </c:pt>
                <c:pt idx="24">
                  <c:v>1500</c:v>
                </c:pt>
                <c:pt idx="25">
                  <c:v>1561.06</c:v>
                </c:pt>
                <c:pt idx="26">
                  <c:v>1621.1000000000001</c:v>
                </c:pt>
                <c:pt idx="27">
                  <c:v>1681.14</c:v>
                </c:pt>
                <c:pt idx="28">
                  <c:v>1741.18</c:v>
                </c:pt>
                <c:pt idx="29">
                  <c:v>1801.22</c:v>
                </c:pt>
                <c:pt idx="30">
                  <c:v>1861.26</c:v>
                </c:pt>
                <c:pt idx="31">
                  <c:v>1921.3</c:v>
                </c:pt>
                <c:pt idx="32">
                  <c:v>1981.3400000000001</c:v>
                </c:pt>
                <c:pt idx="33">
                  <c:v>2041.38</c:v>
                </c:pt>
                <c:pt idx="34">
                  <c:v>2101.42</c:v>
                </c:pt>
                <c:pt idx="35">
                  <c:v>2161.4700000000003</c:v>
                </c:pt>
                <c:pt idx="36">
                  <c:v>2221.5100000000002</c:v>
                </c:pt>
                <c:pt idx="37">
                  <c:v>2281.5500000000002</c:v>
                </c:pt>
                <c:pt idx="38">
                  <c:v>2341.59</c:v>
                </c:pt>
                <c:pt idx="39">
                  <c:v>2401.63</c:v>
                </c:pt>
                <c:pt idx="40">
                  <c:v>2461.67</c:v>
                </c:pt>
                <c:pt idx="41">
                  <c:v>2521.71</c:v>
                </c:pt>
                <c:pt idx="42">
                  <c:v>2581.75</c:v>
                </c:pt>
                <c:pt idx="43">
                  <c:v>2641.79</c:v>
                </c:pt>
                <c:pt idx="44">
                  <c:v>2701.83</c:v>
                </c:pt>
                <c:pt idx="45">
                  <c:v>2761.87</c:v>
                </c:pt>
                <c:pt idx="46">
                  <c:v>2821.91</c:v>
                </c:pt>
                <c:pt idx="47">
                  <c:v>2881.95</c:v>
                </c:pt>
                <c:pt idx="48">
                  <c:v>2941.9900000000002</c:v>
                </c:pt>
                <c:pt idx="49">
                  <c:v>3002.04</c:v>
                </c:pt>
                <c:pt idx="50">
                  <c:v>3062.08</c:v>
                </c:pt>
                <c:pt idx="51">
                  <c:v>3122.12</c:v>
                </c:pt>
                <c:pt idx="52">
                  <c:v>3182.16</c:v>
                </c:pt>
                <c:pt idx="53">
                  <c:v>3242.2</c:v>
                </c:pt>
                <c:pt idx="54">
                  <c:v>3302.2400000000002</c:v>
                </c:pt>
                <c:pt idx="55">
                  <c:v>3362.28</c:v>
                </c:pt>
                <c:pt idx="56">
                  <c:v>3422.32</c:v>
                </c:pt>
                <c:pt idx="57">
                  <c:v>3482.36</c:v>
                </c:pt>
                <c:pt idx="58">
                  <c:v>3542.4</c:v>
                </c:pt>
                <c:pt idx="59">
                  <c:v>3600</c:v>
                </c:pt>
                <c:pt idx="60">
                  <c:v>3662.48</c:v>
                </c:pt>
                <c:pt idx="61">
                  <c:v>3722.52</c:v>
                </c:pt>
              </c:numCache>
            </c:numRef>
          </c:cat>
          <c:val>
            <c:numRef>
              <c:f>Results!R6:R67</c:f>
              <c:numCache>
                <c:formatCode>General</c:formatCode>
                <c:ptCount val="62"/>
                <c:pt idx="0">
                  <c:v>74</c:v>
                </c:pt>
                <c:pt idx="1">
                  <c:v>67</c:v>
                </c:pt>
                <c:pt idx="2">
                  <c:v>79</c:v>
                </c:pt>
                <c:pt idx="3">
                  <c:v>102</c:v>
                </c:pt>
                <c:pt idx="4">
                  <c:v>86</c:v>
                </c:pt>
                <c:pt idx="5">
                  <c:v>77</c:v>
                </c:pt>
                <c:pt idx="6">
                  <c:v>79</c:v>
                </c:pt>
                <c:pt idx="7">
                  <c:v>92</c:v>
                </c:pt>
                <c:pt idx="8">
                  <c:v>84</c:v>
                </c:pt>
                <c:pt idx="9">
                  <c:v>85</c:v>
                </c:pt>
                <c:pt idx="10">
                  <c:v>83</c:v>
                </c:pt>
                <c:pt idx="11">
                  <c:v>74</c:v>
                </c:pt>
                <c:pt idx="12">
                  <c:v>85</c:v>
                </c:pt>
                <c:pt idx="13">
                  <c:v>98</c:v>
                </c:pt>
                <c:pt idx="14">
                  <c:v>86</c:v>
                </c:pt>
                <c:pt idx="15">
                  <c:v>84</c:v>
                </c:pt>
                <c:pt idx="16">
                  <c:v>88</c:v>
                </c:pt>
                <c:pt idx="17">
                  <c:v>76</c:v>
                </c:pt>
                <c:pt idx="18">
                  <c:v>87</c:v>
                </c:pt>
                <c:pt idx="19">
                  <c:v>93</c:v>
                </c:pt>
                <c:pt idx="20">
                  <c:v>87</c:v>
                </c:pt>
                <c:pt idx="21">
                  <c:v>94</c:v>
                </c:pt>
                <c:pt idx="22">
                  <c:v>103</c:v>
                </c:pt>
                <c:pt idx="23">
                  <c:v>78</c:v>
                </c:pt>
                <c:pt idx="25">
                  <c:v>82</c:v>
                </c:pt>
                <c:pt idx="26">
                  <c:v>78</c:v>
                </c:pt>
                <c:pt idx="27">
                  <c:v>69</c:v>
                </c:pt>
                <c:pt idx="28">
                  <c:v>81</c:v>
                </c:pt>
                <c:pt idx="29">
                  <c:v>84</c:v>
                </c:pt>
                <c:pt idx="30">
                  <c:v>77</c:v>
                </c:pt>
                <c:pt idx="31">
                  <c:v>90</c:v>
                </c:pt>
                <c:pt idx="32">
                  <c:v>84</c:v>
                </c:pt>
                <c:pt idx="33">
                  <c:v>100</c:v>
                </c:pt>
                <c:pt idx="34">
                  <c:v>115</c:v>
                </c:pt>
                <c:pt idx="35">
                  <c:v>96</c:v>
                </c:pt>
                <c:pt idx="36">
                  <c:v>89</c:v>
                </c:pt>
                <c:pt idx="37">
                  <c:v>84</c:v>
                </c:pt>
                <c:pt idx="38">
                  <c:v>76</c:v>
                </c:pt>
                <c:pt idx="39">
                  <c:v>94</c:v>
                </c:pt>
                <c:pt idx="40">
                  <c:v>91</c:v>
                </c:pt>
                <c:pt idx="41">
                  <c:v>96</c:v>
                </c:pt>
                <c:pt idx="42">
                  <c:v>82</c:v>
                </c:pt>
                <c:pt idx="43">
                  <c:v>86</c:v>
                </c:pt>
                <c:pt idx="44">
                  <c:v>78</c:v>
                </c:pt>
                <c:pt idx="45">
                  <c:v>78</c:v>
                </c:pt>
                <c:pt idx="46">
                  <c:v>82</c:v>
                </c:pt>
                <c:pt idx="47">
                  <c:v>89</c:v>
                </c:pt>
                <c:pt idx="48">
                  <c:v>83</c:v>
                </c:pt>
                <c:pt idx="49">
                  <c:v>74</c:v>
                </c:pt>
                <c:pt idx="50">
                  <c:v>84</c:v>
                </c:pt>
                <c:pt idx="51">
                  <c:v>67</c:v>
                </c:pt>
                <c:pt idx="52">
                  <c:v>83</c:v>
                </c:pt>
                <c:pt idx="53">
                  <c:v>57</c:v>
                </c:pt>
                <c:pt idx="54">
                  <c:v>74</c:v>
                </c:pt>
                <c:pt idx="55">
                  <c:v>89</c:v>
                </c:pt>
                <c:pt idx="56">
                  <c:v>77</c:v>
                </c:pt>
                <c:pt idx="57">
                  <c:v>89</c:v>
                </c:pt>
                <c:pt idx="58">
                  <c:v>85</c:v>
                </c:pt>
                <c:pt idx="60">
                  <c:v>92</c:v>
                </c:pt>
                <c:pt idx="61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91-4DF5-92CF-7C0931115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3488904"/>
        <c:axId val="1724036104"/>
      </c:lineChart>
      <c:catAx>
        <c:axId val="1553488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036104"/>
        <c:crosses val="autoZero"/>
        <c:auto val="1"/>
        <c:lblAlgn val="ctr"/>
        <c:lblOffset val="100"/>
        <c:noMultiLvlLbl val="0"/>
      </c:catAx>
      <c:valAx>
        <c:axId val="1724036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veh/min (approx)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48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723900</xdr:colOff>
      <xdr:row>6</xdr:row>
      <xdr:rowOff>19050</xdr:rowOff>
    </xdr:from>
    <xdr:to>
      <xdr:col>6</xdr:col>
      <xdr:colOff>962025</xdr:colOff>
      <xdr:row>30</xdr:row>
      <xdr:rowOff>9525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1B694A4-155A-C647-7727-4862E813D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962025</xdr:colOff>
      <xdr:row>6</xdr:row>
      <xdr:rowOff>19050</xdr:rowOff>
    </xdr:from>
    <xdr:to>
      <xdr:col>13</xdr:col>
      <xdr:colOff>371475</xdr:colOff>
      <xdr:row>26</xdr:row>
      <xdr:rowOff>133350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C55EA07-5913-415E-A36D-A1711C871B8F}"/>
            </a:ext>
            <a:ext uri="{147F2762-F138-4A5C-976F-8EAC2B608ADB}">
              <a16:predDERef xmlns:a16="http://schemas.microsoft.com/office/drawing/2014/main" pred="{11B694A4-155A-C647-7727-4862E813D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topLeftCell="A7" workbookViewId="0">
      <selection activeCell="O9" sqref="O9"/>
    </sheetView>
  </sheetViews>
  <sheetFormatPr defaultRowHeight="15" customHeight="1"/>
  <cols>
    <col min="2" max="2" width="11.5" customWidth="1"/>
    <col min="3" max="3" width="13.25" customWidth="1"/>
    <col min="4" max="4" width="11.625" customWidth="1"/>
    <col min="5" max="5" width="12" customWidth="1"/>
    <col min="6" max="6" width="8.5" customWidth="1"/>
    <col min="7" max="7" width="14" customWidth="1"/>
    <col min="8" max="8" width="8.75" customWidth="1"/>
  </cols>
  <sheetData>
    <row r="1" spans="1:19">
      <c r="B1" t="s">
        <v>0</v>
      </c>
      <c r="C1" s="2">
        <v>46105</v>
      </c>
      <c r="D1" s="3" t="s">
        <v>1</v>
      </c>
      <c r="F1" t="s">
        <v>2</v>
      </c>
      <c r="J1" s="4" t="s">
        <v>3</v>
      </c>
      <c r="K1" s="4"/>
      <c r="L1" s="4"/>
      <c r="M1" s="4"/>
      <c r="N1" s="4"/>
      <c r="O1" s="5"/>
    </row>
    <row r="2" spans="1:19"/>
    <row r="3" spans="1:19">
      <c r="K3">
        <f>SUM(K6:K67)</f>
        <v>3865</v>
      </c>
      <c r="L3" t="s">
        <v>4</v>
      </c>
      <c r="N3">
        <f>SUM(N6:N67)</f>
        <v>1185</v>
      </c>
      <c r="O3" t="s">
        <v>4</v>
      </c>
      <c r="R3">
        <f>SUM(R6:R67)</f>
        <v>5050</v>
      </c>
      <c r="S3" t="s">
        <v>4</v>
      </c>
    </row>
    <row r="4" spans="1:19"/>
    <row r="5" spans="1:19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K5" t="s">
        <v>14</v>
      </c>
      <c r="N5" t="s">
        <v>15</v>
      </c>
      <c r="R5" t="s">
        <v>16</v>
      </c>
    </row>
    <row r="6" spans="1:19">
      <c r="A6">
        <v>60.04</v>
      </c>
      <c r="B6">
        <v>39</v>
      </c>
      <c r="C6">
        <v>1</v>
      </c>
      <c r="D6">
        <v>0</v>
      </c>
      <c r="E6">
        <v>14</v>
      </c>
      <c r="F6">
        <v>18</v>
      </c>
      <c r="G6">
        <v>2</v>
      </c>
      <c r="H6">
        <v>0</v>
      </c>
      <c r="I6">
        <v>3</v>
      </c>
      <c r="K6">
        <f t="shared" ref="K6:K67" si="0">B6+D6+E6</f>
        <v>53</v>
      </c>
      <c r="N6">
        <f t="shared" ref="N6:N67" si="1">F6+H6+I6</f>
        <v>21</v>
      </c>
      <c r="R6">
        <f t="shared" ref="R6:R67" si="2">K6+N6</f>
        <v>74</v>
      </c>
    </row>
    <row r="7" spans="1:19">
      <c r="A7">
        <v>120.08000000000001</v>
      </c>
      <c r="B7">
        <v>29</v>
      </c>
      <c r="C7">
        <v>5</v>
      </c>
      <c r="D7">
        <v>0</v>
      </c>
      <c r="E7">
        <v>17</v>
      </c>
      <c r="F7">
        <v>13</v>
      </c>
      <c r="G7">
        <v>0</v>
      </c>
      <c r="H7">
        <v>1</v>
      </c>
      <c r="I7">
        <v>7</v>
      </c>
      <c r="K7">
        <f t="shared" si="0"/>
        <v>46</v>
      </c>
      <c r="N7">
        <f t="shared" si="1"/>
        <v>21</v>
      </c>
      <c r="R7">
        <f t="shared" si="2"/>
        <v>67</v>
      </c>
    </row>
    <row r="8" spans="1:19">
      <c r="A8">
        <v>180.12</v>
      </c>
      <c r="B8">
        <v>50</v>
      </c>
      <c r="C8">
        <v>4</v>
      </c>
      <c r="D8">
        <v>2</v>
      </c>
      <c r="E8">
        <v>12</v>
      </c>
      <c r="F8">
        <v>11</v>
      </c>
      <c r="G8">
        <v>4</v>
      </c>
      <c r="H8">
        <v>3</v>
      </c>
      <c r="I8">
        <v>1</v>
      </c>
      <c r="K8">
        <f t="shared" si="0"/>
        <v>64</v>
      </c>
      <c r="N8">
        <f t="shared" si="1"/>
        <v>15</v>
      </c>
      <c r="R8">
        <f t="shared" si="2"/>
        <v>79</v>
      </c>
    </row>
    <row r="9" spans="1:19">
      <c r="A9">
        <v>240.16</v>
      </c>
      <c r="B9">
        <v>66</v>
      </c>
      <c r="C9">
        <v>10</v>
      </c>
      <c r="D9">
        <v>-1</v>
      </c>
      <c r="E9">
        <v>11</v>
      </c>
      <c r="F9">
        <v>17</v>
      </c>
      <c r="G9">
        <v>0</v>
      </c>
      <c r="H9">
        <v>1</v>
      </c>
      <c r="I9">
        <v>8</v>
      </c>
      <c r="K9">
        <f t="shared" si="0"/>
        <v>76</v>
      </c>
      <c r="N9">
        <f t="shared" si="1"/>
        <v>26</v>
      </c>
      <c r="R9">
        <f t="shared" si="2"/>
        <v>102</v>
      </c>
    </row>
    <row r="10" spans="1:19">
      <c r="A10">
        <v>300.2</v>
      </c>
      <c r="B10">
        <v>38</v>
      </c>
      <c r="C10">
        <v>1</v>
      </c>
      <c r="D10">
        <v>0</v>
      </c>
      <c r="E10">
        <v>25</v>
      </c>
      <c r="F10">
        <v>20</v>
      </c>
      <c r="G10">
        <v>5</v>
      </c>
      <c r="H10">
        <v>0</v>
      </c>
      <c r="I10">
        <v>3</v>
      </c>
      <c r="K10">
        <f t="shared" si="0"/>
        <v>63</v>
      </c>
      <c r="N10">
        <f t="shared" si="1"/>
        <v>23</v>
      </c>
      <c r="R10">
        <f t="shared" si="2"/>
        <v>86</v>
      </c>
    </row>
    <row r="11" spans="1:19">
      <c r="A11">
        <v>360.23999999999995</v>
      </c>
      <c r="B11">
        <v>50</v>
      </c>
      <c r="C11">
        <v>5</v>
      </c>
      <c r="D11">
        <v>1</v>
      </c>
      <c r="E11">
        <v>11</v>
      </c>
      <c r="F11">
        <v>13</v>
      </c>
      <c r="G11">
        <v>1</v>
      </c>
      <c r="H11">
        <v>1</v>
      </c>
      <c r="I11">
        <v>1</v>
      </c>
      <c r="K11">
        <f t="shared" si="0"/>
        <v>62</v>
      </c>
      <c r="N11">
        <f t="shared" si="1"/>
        <v>15</v>
      </c>
      <c r="R11">
        <f t="shared" si="2"/>
        <v>77</v>
      </c>
    </row>
    <row r="12" spans="1:19">
      <c r="A12">
        <v>420.28999999999996</v>
      </c>
      <c r="B12">
        <v>39</v>
      </c>
      <c r="C12">
        <v>4</v>
      </c>
      <c r="D12">
        <v>1</v>
      </c>
      <c r="E12">
        <v>27</v>
      </c>
      <c r="F12">
        <v>7</v>
      </c>
      <c r="G12">
        <v>0</v>
      </c>
      <c r="H12">
        <v>1</v>
      </c>
      <c r="I12">
        <v>4</v>
      </c>
      <c r="K12">
        <f t="shared" si="0"/>
        <v>67</v>
      </c>
      <c r="N12">
        <f t="shared" si="1"/>
        <v>12</v>
      </c>
      <c r="R12">
        <f t="shared" si="2"/>
        <v>79</v>
      </c>
    </row>
    <row r="13" spans="1:19">
      <c r="A13">
        <v>480.33</v>
      </c>
      <c r="B13">
        <v>59</v>
      </c>
      <c r="C13">
        <v>6</v>
      </c>
      <c r="D13">
        <v>0</v>
      </c>
      <c r="E13">
        <v>23</v>
      </c>
      <c r="F13">
        <v>9</v>
      </c>
      <c r="G13">
        <v>1</v>
      </c>
      <c r="H13">
        <v>0</v>
      </c>
      <c r="I13">
        <v>1</v>
      </c>
      <c r="K13">
        <f t="shared" si="0"/>
        <v>82</v>
      </c>
      <c r="N13">
        <f t="shared" si="1"/>
        <v>10</v>
      </c>
      <c r="R13">
        <f t="shared" si="2"/>
        <v>92</v>
      </c>
    </row>
    <row r="14" spans="1:19">
      <c r="A14">
        <v>540.37</v>
      </c>
      <c r="B14">
        <v>51</v>
      </c>
      <c r="C14">
        <v>2</v>
      </c>
      <c r="D14">
        <v>0</v>
      </c>
      <c r="E14">
        <v>16</v>
      </c>
      <c r="F14">
        <v>13</v>
      </c>
      <c r="G14">
        <v>1</v>
      </c>
      <c r="H14">
        <v>0</v>
      </c>
      <c r="I14">
        <v>4</v>
      </c>
      <c r="K14">
        <f t="shared" si="0"/>
        <v>67</v>
      </c>
      <c r="N14">
        <f t="shared" si="1"/>
        <v>17</v>
      </c>
      <c r="R14">
        <f t="shared" si="2"/>
        <v>84</v>
      </c>
    </row>
    <row r="15" spans="1:19">
      <c r="A15">
        <v>600.41000000000008</v>
      </c>
      <c r="B15">
        <v>52</v>
      </c>
      <c r="C15">
        <v>4</v>
      </c>
      <c r="D15">
        <v>0</v>
      </c>
      <c r="E15">
        <v>20</v>
      </c>
      <c r="F15">
        <v>9</v>
      </c>
      <c r="G15">
        <v>2</v>
      </c>
      <c r="H15">
        <v>0</v>
      </c>
      <c r="I15">
        <v>4</v>
      </c>
      <c r="K15">
        <f t="shared" si="0"/>
        <v>72</v>
      </c>
      <c r="N15">
        <f t="shared" si="1"/>
        <v>13</v>
      </c>
      <c r="R15">
        <f t="shared" si="2"/>
        <v>85</v>
      </c>
    </row>
    <row r="16" spans="1:19">
      <c r="A16">
        <v>660.45</v>
      </c>
      <c r="B16">
        <v>51</v>
      </c>
      <c r="C16">
        <v>7</v>
      </c>
      <c r="D16">
        <v>0</v>
      </c>
      <c r="E16">
        <v>10</v>
      </c>
      <c r="F16">
        <v>15</v>
      </c>
      <c r="G16">
        <v>3</v>
      </c>
      <c r="H16">
        <v>0</v>
      </c>
      <c r="I16">
        <v>7</v>
      </c>
      <c r="K16">
        <f t="shared" si="0"/>
        <v>61</v>
      </c>
      <c r="N16">
        <f t="shared" si="1"/>
        <v>22</v>
      </c>
      <c r="R16">
        <f t="shared" si="2"/>
        <v>83</v>
      </c>
    </row>
    <row r="17" spans="1:18">
      <c r="A17">
        <v>720.49</v>
      </c>
      <c r="B17">
        <v>35</v>
      </c>
      <c r="C17">
        <v>3</v>
      </c>
      <c r="D17">
        <v>-1</v>
      </c>
      <c r="E17">
        <v>20</v>
      </c>
      <c r="F17">
        <v>15</v>
      </c>
      <c r="G17">
        <v>1</v>
      </c>
      <c r="H17">
        <v>2</v>
      </c>
      <c r="I17">
        <v>3</v>
      </c>
      <c r="K17">
        <f t="shared" si="0"/>
        <v>54</v>
      </c>
      <c r="N17">
        <f t="shared" si="1"/>
        <v>20</v>
      </c>
      <c r="R17">
        <f t="shared" si="2"/>
        <v>74</v>
      </c>
    </row>
    <row r="18" spans="1:18">
      <c r="A18">
        <v>780.53000000000009</v>
      </c>
      <c r="B18">
        <v>41</v>
      </c>
      <c r="C18">
        <v>5</v>
      </c>
      <c r="D18">
        <v>0</v>
      </c>
      <c r="E18">
        <v>22</v>
      </c>
      <c r="F18">
        <v>12</v>
      </c>
      <c r="G18">
        <v>2</v>
      </c>
      <c r="H18">
        <v>3</v>
      </c>
      <c r="I18">
        <v>7</v>
      </c>
      <c r="K18">
        <f t="shared" si="0"/>
        <v>63</v>
      </c>
      <c r="N18">
        <f t="shared" si="1"/>
        <v>22</v>
      </c>
      <c r="R18">
        <f t="shared" si="2"/>
        <v>85</v>
      </c>
    </row>
    <row r="19" spans="1:18">
      <c r="A19">
        <v>840.57</v>
      </c>
      <c r="B19">
        <v>62</v>
      </c>
      <c r="C19">
        <v>11</v>
      </c>
      <c r="D19">
        <v>2</v>
      </c>
      <c r="E19">
        <v>14</v>
      </c>
      <c r="F19">
        <v>19</v>
      </c>
      <c r="G19">
        <v>-1</v>
      </c>
      <c r="H19">
        <v>0</v>
      </c>
      <c r="I19">
        <v>1</v>
      </c>
      <c r="K19">
        <f t="shared" si="0"/>
        <v>78</v>
      </c>
      <c r="N19">
        <f t="shared" si="1"/>
        <v>20</v>
      </c>
      <c r="R19">
        <f t="shared" si="2"/>
        <v>98</v>
      </c>
    </row>
    <row r="20" spans="1:18">
      <c r="A20">
        <v>900.61</v>
      </c>
      <c r="B20">
        <v>51</v>
      </c>
      <c r="C20">
        <v>3</v>
      </c>
      <c r="D20">
        <v>0</v>
      </c>
      <c r="E20">
        <v>19</v>
      </c>
      <c r="F20">
        <v>10</v>
      </c>
      <c r="G20">
        <v>0</v>
      </c>
      <c r="H20">
        <v>3</v>
      </c>
      <c r="I20">
        <v>3</v>
      </c>
      <c r="K20">
        <f t="shared" si="0"/>
        <v>70</v>
      </c>
      <c r="N20">
        <f t="shared" si="1"/>
        <v>16</v>
      </c>
      <c r="R20">
        <f t="shared" si="2"/>
        <v>86</v>
      </c>
    </row>
    <row r="21" spans="1:18">
      <c r="A21">
        <v>960.65000000000009</v>
      </c>
      <c r="B21">
        <v>50</v>
      </c>
      <c r="C21">
        <v>6</v>
      </c>
      <c r="D21">
        <v>0</v>
      </c>
      <c r="E21">
        <v>16</v>
      </c>
      <c r="F21">
        <v>12</v>
      </c>
      <c r="G21">
        <v>2</v>
      </c>
      <c r="H21">
        <v>1</v>
      </c>
      <c r="I21">
        <v>5</v>
      </c>
      <c r="K21">
        <f t="shared" si="0"/>
        <v>66</v>
      </c>
      <c r="N21">
        <f t="shared" si="1"/>
        <v>18</v>
      </c>
      <c r="R21">
        <f t="shared" si="2"/>
        <v>84</v>
      </c>
    </row>
    <row r="22" spans="1:18">
      <c r="A22">
        <v>1020.69</v>
      </c>
      <c r="B22">
        <v>45</v>
      </c>
      <c r="C22">
        <v>4</v>
      </c>
      <c r="D22">
        <v>2</v>
      </c>
      <c r="E22">
        <v>18</v>
      </c>
      <c r="F22">
        <v>22</v>
      </c>
      <c r="G22">
        <v>3</v>
      </c>
      <c r="H22">
        <v>0</v>
      </c>
      <c r="I22">
        <v>1</v>
      </c>
      <c r="K22">
        <f t="shared" si="0"/>
        <v>65</v>
      </c>
      <c r="N22">
        <f t="shared" si="1"/>
        <v>23</v>
      </c>
      <c r="R22">
        <f t="shared" si="2"/>
        <v>88</v>
      </c>
    </row>
    <row r="23" spans="1:18">
      <c r="A23">
        <v>1080.73</v>
      </c>
      <c r="B23">
        <v>28</v>
      </c>
      <c r="C23">
        <v>11</v>
      </c>
      <c r="D23">
        <v>0</v>
      </c>
      <c r="E23">
        <v>33</v>
      </c>
      <c r="F23">
        <v>9</v>
      </c>
      <c r="G23">
        <v>0</v>
      </c>
      <c r="H23">
        <v>1</v>
      </c>
      <c r="I23">
        <v>5</v>
      </c>
      <c r="K23">
        <f t="shared" si="0"/>
        <v>61</v>
      </c>
      <c r="N23">
        <f t="shared" si="1"/>
        <v>15</v>
      </c>
      <c r="R23">
        <f t="shared" si="2"/>
        <v>76</v>
      </c>
    </row>
    <row r="24" spans="1:18">
      <c r="A24">
        <v>1140.77</v>
      </c>
      <c r="B24">
        <v>40</v>
      </c>
      <c r="C24">
        <v>6</v>
      </c>
      <c r="D24">
        <v>2</v>
      </c>
      <c r="E24">
        <v>25</v>
      </c>
      <c r="F24">
        <v>11</v>
      </c>
      <c r="G24">
        <v>1</v>
      </c>
      <c r="H24">
        <v>1</v>
      </c>
      <c r="I24">
        <v>8</v>
      </c>
      <c r="K24">
        <f t="shared" si="0"/>
        <v>67</v>
      </c>
      <c r="N24">
        <f t="shared" si="1"/>
        <v>20</v>
      </c>
      <c r="R24">
        <f t="shared" si="2"/>
        <v>87</v>
      </c>
    </row>
    <row r="25" spans="1:18">
      <c r="A25">
        <v>1200.81</v>
      </c>
      <c r="B25">
        <v>62</v>
      </c>
      <c r="C25">
        <v>5</v>
      </c>
      <c r="D25">
        <v>0</v>
      </c>
      <c r="E25">
        <v>18</v>
      </c>
      <c r="F25">
        <v>10</v>
      </c>
      <c r="G25">
        <v>0</v>
      </c>
      <c r="H25">
        <v>0</v>
      </c>
      <c r="I25">
        <v>3</v>
      </c>
      <c r="K25">
        <f t="shared" si="0"/>
        <v>80</v>
      </c>
      <c r="N25">
        <f t="shared" si="1"/>
        <v>13</v>
      </c>
      <c r="R25">
        <f t="shared" si="2"/>
        <v>93</v>
      </c>
    </row>
    <row r="26" spans="1:18">
      <c r="A26">
        <v>1260.8600000000001</v>
      </c>
      <c r="B26">
        <v>47</v>
      </c>
      <c r="C26">
        <v>10</v>
      </c>
      <c r="D26">
        <v>0</v>
      </c>
      <c r="E26">
        <v>22</v>
      </c>
      <c r="F26">
        <v>15</v>
      </c>
      <c r="G26">
        <v>1</v>
      </c>
      <c r="H26">
        <v>1</v>
      </c>
      <c r="I26">
        <v>2</v>
      </c>
      <c r="K26">
        <f t="shared" si="0"/>
        <v>69</v>
      </c>
      <c r="N26">
        <f t="shared" si="1"/>
        <v>18</v>
      </c>
      <c r="R26">
        <f t="shared" si="2"/>
        <v>87</v>
      </c>
    </row>
    <row r="27" spans="1:18">
      <c r="A27">
        <v>1320.9</v>
      </c>
      <c r="B27">
        <v>57</v>
      </c>
      <c r="C27">
        <v>7</v>
      </c>
      <c r="D27">
        <v>0</v>
      </c>
      <c r="E27">
        <v>16</v>
      </c>
      <c r="F27">
        <v>15</v>
      </c>
      <c r="G27">
        <v>0</v>
      </c>
      <c r="H27">
        <v>1</v>
      </c>
      <c r="I27">
        <v>5</v>
      </c>
      <c r="K27">
        <f t="shared" si="0"/>
        <v>73</v>
      </c>
      <c r="N27">
        <f t="shared" si="1"/>
        <v>21</v>
      </c>
      <c r="R27">
        <f t="shared" si="2"/>
        <v>94</v>
      </c>
    </row>
    <row r="28" spans="1:18">
      <c r="A28">
        <v>1380.94</v>
      </c>
      <c r="B28">
        <v>74</v>
      </c>
      <c r="C28">
        <v>5</v>
      </c>
      <c r="D28">
        <v>0</v>
      </c>
      <c r="E28">
        <v>18</v>
      </c>
      <c r="F28">
        <v>10</v>
      </c>
      <c r="G28">
        <v>-1</v>
      </c>
      <c r="H28">
        <v>2</v>
      </c>
      <c r="I28">
        <v>-1</v>
      </c>
      <c r="K28">
        <f t="shared" si="0"/>
        <v>92</v>
      </c>
      <c r="N28">
        <f t="shared" si="1"/>
        <v>11</v>
      </c>
      <c r="R28">
        <f t="shared" si="2"/>
        <v>103</v>
      </c>
    </row>
    <row r="29" spans="1:18">
      <c r="A29">
        <v>1440.98</v>
      </c>
      <c r="B29">
        <v>40</v>
      </c>
      <c r="C29">
        <v>6</v>
      </c>
      <c r="D29">
        <v>0</v>
      </c>
      <c r="E29">
        <v>18</v>
      </c>
      <c r="F29">
        <v>17</v>
      </c>
      <c r="G29">
        <v>3</v>
      </c>
      <c r="H29">
        <v>1</v>
      </c>
      <c r="I29">
        <v>2</v>
      </c>
      <c r="K29">
        <f t="shared" si="0"/>
        <v>58</v>
      </c>
      <c r="N29">
        <f t="shared" si="1"/>
        <v>20</v>
      </c>
      <c r="R29">
        <f t="shared" si="2"/>
        <v>78</v>
      </c>
    </row>
    <row r="30" spans="1:18">
      <c r="A30" s="6">
        <v>1500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1:18">
      <c r="A31">
        <v>1561.06</v>
      </c>
      <c r="B31">
        <v>45</v>
      </c>
      <c r="C31">
        <v>7</v>
      </c>
      <c r="D31">
        <v>1</v>
      </c>
      <c r="E31">
        <v>7</v>
      </c>
      <c r="F31">
        <v>24</v>
      </c>
      <c r="G31">
        <v>3</v>
      </c>
      <c r="H31">
        <v>0</v>
      </c>
      <c r="I31">
        <v>5</v>
      </c>
      <c r="K31">
        <f t="shared" si="0"/>
        <v>53</v>
      </c>
      <c r="N31">
        <f t="shared" si="1"/>
        <v>29</v>
      </c>
      <c r="R31">
        <f t="shared" si="2"/>
        <v>82</v>
      </c>
    </row>
    <row r="32" spans="1:18">
      <c r="A32">
        <v>1621.1000000000001</v>
      </c>
      <c r="B32">
        <v>40</v>
      </c>
      <c r="C32">
        <v>3</v>
      </c>
      <c r="D32">
        <v>1</v>
      </c>
      <c r="E32">
        <v>14</v>
      </c>
      <c r="F32">
        <v>17</v>
      </c>
      <c r="G32">
        <v>0</v>
      </c>
      <c r="H32">
        <v>1</v>
      </c>
      <c r="I32">
        <v>5</v>
      </c>
      <c r="K32">
        <f t="shared" si="0"/>
        <v>55</v>
      </c>
      <c r="N32">
        <f t="shared" si="1"/>
        <v>23</v>
      </c>
      <c r="R32">
        <f t="shared" si="2"/>
        <v>78</v>
      </c>
    </row>
    <row r="33" spans="1:18">
      <c r="A33">
        <v>1681.14</v>
      </c>
      <c r="B33">
        <v>45</v>
      </c>
      <c r="C33">
        <v>8</v>
      </c>
      <c r="D33">
        <v>0</v>
      </c>
      <c r="E33">
        <v>6</v>
      </c>
      <c r="F33">
        <v>11</v>
      </c>
      <c r="G33">
        <v>4</v>
      </c>
      <c r="H33">
        <v>0</v>
      </c>
      <c r="I33">
        <v>7</v>
      </c>
      <c r="K33">
        <f t="shared" si="0"/>
        <v>51</v>
      </c>
      <c r="N33">
        <f t="shared" si="1"/>
        <v>18</v>
      </c>
      <c r="R33">
        <f t="shared" si="2"/>
        <v>69</v>
      </c>
    </row>
    <row r="34" spans="1:18">
      <c r="A34">
        <v>1741.18</v>
      </c>
      <c r="B34">
        <v>45</v>
      </c>
      <c r="C34">
        <v>6</v>
      </c>
      <c r="D34">
        <v>0</v>
      </c>
      <c r="E34">
        <v>21</v>
      </c>
      <c r="F34">
        <v>12</v>
      </c>
      <c r="G34">
        <v>2</v>
      </c>
      <c r="H34">
        <v>0</v>
      </c>
      <c r="I34">
        <v>3</v>
      </c>
      <c r="K34">
        <f t="shared" si="0"/>
        <v>66</v>
      </c>
      <c r="N34">
        <f t="shared" si="1"/>
        <v>15</v>
      </c>
      <c r="R34">
        <f t="shared" si="2"/>
        <v>81</v>
      </c>
    </row>
    <row r="35" spans="1:18">
      <c r="A35">
        <v>1801.22</v>
      </c>
      <c r="B35">
        <v>45</v>
      </c>
      <c r="C35">
        <v>3</v>
      </c>
      <c r="D35">
        <v>0</v>
      </c>
      <c r="E35">
        <v>23</v>
      </c>
      <c r="F35">
        <v>12</v>
      </c>
      <c r="G35">
        <v>2</v>
      </c>
      <c r="H35">
        <v>0</v>
      </c>
      <c r="I35">
        <v>4</v>
      </c>
      <c r="K35">
        <f t="shared" si="0"/>
        <v>68</v>
      </c>
      <c r="N35">
        <f t="shared" si="1"/>
        <v>16</v>
      </c>
      <c r="R35">
        <f t="shared" si="2"/>
        <v>84</v>
      </c>
    </row>
    <row r="36" spans="1:18">
      <c r="A36">
        <v>1861.26</v>
      </c>
      <c r="B36">
        <v>40</v>
      </c>
      <c r="C36">
        <v>8</v>
      </c>
      <c r="D36">
        <v>2</v>
      </c>
      <c r="E36">
        <v>16</v>
      </c>
      <c r="F36">
        <v>10</v>
      </c>
      <c r="G36">
        <v>0</v>
      </c>
      <c r="H36">
        <v>1</v>
      </c>
      <c r="I36">
        <v>8</v>
      </c>
      <c r="K36">
        <f t="shared" si="0"/>
        <v>58</v>
      </c>
      <c r="N36">
        <f t="shared" si="1"/>
        <v>19</v>
      </c>
      <c r="R36">
        <f t="shared" si="2"/>
        <v>77</v>
      </c>
    </row>
    <row r="37" spans="1:18">
      <c r="A37">
        <v>1921.3</v>
      </c>
      <c r="B37">
        <v>47</v>
      </c>
      <c r="C37">
        <v>8</v>
      </c>
      <c r="D37">
        <v>0</v>
      </c>
      <c r="E37">
        <v>18</v>
      </c>
      <c r="F37">
        <v>15</v>
      </c>
      <c r="G37">
        <v>0</v>
      </c>
      <c r="H37">
        <v>1</v>
      </c>
      <c r="I37">
        <v>9</v>
      </c>
      <c r="K37">
        <f t="shared" si="0"/>
        <v>65</v>
      </c>
      <c r="N37">
        <f t="shared" si="1"/>
        <v>25</v>
      </c>
      <c r="R37">
        <f t="shared" si="2"/>
        <v>90</v>
      </c>
    </row>
    <row r="38" spans="1:18">
      <c r="A38">
        <v>1981.3400000000001</v>
      </c>
      <c r="B38">
        <v>38</v>
      </c>
      <c r="C38">
        <v>9</v>
      </c>
      <c r="D38">
        <v>0</v>
      </c>
      <c r="E38">
        <v>25</v>
      </c>
      <c r="F38">
        <v>14</v>
      </c>
      <c r="G38">
        <v>3</v>
      </c>
      <c r="H38">
        <v>2</v>
      </c>
      <c r="I38">
        <v>5</v>
      </c>
      <c r="K38">
        <f t="shared" si="0"/>
        <v>63</v>
      </c>
      <c r="N38">
        <f t="shared" si="1"/>
        <v>21</v>
      </c>
      <c r="R38">
        <f t="shared" si="2"/>
        <v>84</v>
      </c>
    </row>
    <row r="39" spans="1:18">
      <c r="A39">
        <v>2041.38</v>
      </c>
      <c r="B39">
        <v>64</v>
      </c>
      <c r="C39">
        <v>2</v>
      </c>
      <c r="D39">
        <v>0</v>
      </c>
      <c r="E39">
        <v>12</v>
      </c>
      <c r="F39">
        <v>10</v>
      </c>
      <c r="G39">
        <v>2</v>
      </c>
      <c r="H39">
        <v>4</v>
      </c>
      <c r="I39">
        <v>10</v>
      </c>
      <c r="K39">
        <f t="shared" si="0"/>
        <v>76</v>
      </c>
      <c r="N39">
        <f t="shared" si="1"/>
        <v>24</v>
      </c>
      <c r="R39">
        <f t="shared" si="2"/>
        <v>100</v>
      </c>
    </row>
    <row r="40" spans="1:18">
      <c r="A40">
        <v>2101.42</v>
      </c>
      <c r="B40">
        <v>73</v>
      </c>
      <c r="C40">
        <v>6</v>
      </c>
      <c r="D40">
        <v>1</v>
      </c>
      <c r="E40">
        <v>16</v>
      </c>
      <c r="F40">
        <v>19</v>
      </c>
      <c r="G40">
        <v>1</v>
      </c>
      <c r="H40">
        <v>2</v>
      </c>
      <c r="I40">
        <v>4</v>
      </c>
      <c r="K40">
        <f t="shared" si="0"/>
        <v>90</v>
      </c>
      <c r="N40">
        <f t="shared" si="1"/>
        <v>25</v>
      </c>
      <c r="R40">
        <f t="shared" si="2"/>
        <v>115</v>
      </c>
    </row>
    <row r="41" spans="1:18">
      <c r="A41">
        <v>2161.4700000000003</v>
      </c>
      <c r="B41">
        <v>60</v>
      </c>
      <c r="C41">
        <v>5</v>
      </c>
      <c r="D41">
        <v>-1</v>
      </c>
      <c r="E41">
        <v>15</v>
      </c>
      <c r="F41">
        <v>15</v>
      </c>
      <c r="G41">
        <v>3</v>
      </c>
      <c r="H41">
        <v>1</v>
      </c>
      <c r="I41">
        <v>6</v>
      </c>
      <c r="K41">
        <f t="shared" si="0"/>
        <v>74</v>
      </c>
      <c r="N41">
        <f t="shared" si="1"/>
        <v>22</v>
      </c>
      <c r="R41">
        <f t="shared" si="2"/>
        <v>96</v>
      </c>
    </row>
    <row r="42" spans="1:18">
      <c r="A42">
        <v>2221.5100000000002</v>
      </c>
      <c r="B42">
        <v>45</v>
      </c>
      <c r="C42">
        <v>4</v>
      </c>
      <c r="D42">
        <v>0</v>
      </c>
      <c r="E42">
        <v>17</v>
      </c>
      <c r="F42">
        <v>17</v>
      </c>
      <c r="G42">
        <v>1</v>
      </c>
      <c r="H42">
        <v>0</v>
      </c>
      <c r="I42">
        <v>10</v>
      </c>
      <c r="K42">
        <f t="shared" si="0"/>
        <v>62</v>
      </c>
      <c r="N42">
        <f t="shared" si="1"/>
        <v>27</v>
      </c>
      <c r="R42">
        <f t="shared" si="2"/>
        <v>89</v>
      </c>
    </row>
    <row r="43" spans="1:18">
      <c r="A43">
        <v>2281.5500000000002</v>
      </c>
      <c r="B43">
        <v>45</v>
      </c>
      <c r="C43">
        <v>6</v>
      </c>
      <c r="D43">
        <v>0</v>
      </c>
      <c r="E43">
        <v>10</v>
      </c>
      <c r="F43">
        <v>21</v>
      </c>
      <c r="G43">
        <v>1</v>
      </c>
      <c r="H43">
        <v>2</v>
      </c>
      <c r="I43">
        <v>6</v>
      </c>
      <c r="K43">
        <f t="shared" si="0"/>
        <v>55</v>
      </c>
      <c r="N43">
        <f t="shared" si="1"/>
        <v>29</v>
      </c>
      <c r="R43">
        <f t="shared" si="2"/>
        <v>84</v>
      </c>
    </row>
    <row r="44" spans="1:18">
      <c r="A44">
        <v>2341.59</v>
      </c>
      <c r="B44">
        <v>38</v>
      </c>
      <c r="C44">
        <v>2</v>
      </c>
      <c r="D44">
        <v>0</v>
      </c>
      <c r="E44">
        <v>12</v>
      </c>
      <c r="F44">
        <v>20</v>
      </c>
      <c r="G44">
        <v>5</v>
      </c>
      <c r="H44">
        <v>0</v>
      </c>
      <c r="I44">
        <v>6</v>
      </c>
      <c r="K44">
        <f t="shared" si="0"/>
        <v>50</v>
      </c>
      <c r="N44">
        <f t="shared" si="1"/>
        <v>26</v>
      </c>
      <c r="R44">
        <f t="shared" si="2"/>
        <v>76</v>
      </c>
    </row>
    <row r="45" spans="1:18">
      <c r="A45">
        <v>2401.63</v>
      </c>
      <c r="B45">
        <v>52</v>
      </c>
      <c r="C45">
        <v>8</v>
      </c>
      <c r="D45">
        <v>1</v>
      </c>
      <c r="E45">
        <v>25</v>
      </c>
      <c r="F45">
        <v>12</v>
      </c>
      <c r="G45">
        <v>0</v>
      </c>
      <c r="H45">
        <v>0</v>
      </c>
      <c r="I45">
        <v>4</v>
      </c>
      <c r="K45">
        <f t="shared" si="0"/>
        <v>78</v>
      </c>
      <c r="N45">
        <f t="shared" si="1"/>
        <v>16</v>
      </c>
      <c r="R45">
        <f t="shared" si="2"/>
        <v>94</v>
      </c>
    </row>
    <row r="46" spans="1:18">
      <c r="A46">
        <v>2461.67</v>
      </c>
      <c r="B46">
        <v>53</v>
      </c>
      <c r="C46">
        <v>6</v>
      </c>
      <c r="D46">
        <v>1</v>
      </c>
      <c r="E46">
        <v>14</v>
      </c>
      <c r="F46">
        <v>18</v>
      </c>
      <c r="G46">
        <v>0</v>
      </c>
      <c r="H46">
        <v>0</v>
      </c>
      <c r="I46">
        <v>5</v>
      </c>
      <c r="K46">
        <f t="shared" si="0"/>
        <v>68</v>
      </c>
      <c r="N46">
        <f t="shared" si="1"/>
        <v>23</v>
      </c>
      <c r="R46">
        <f t="shared" si="2"/>
        <v>91</v>
      </c>
    </row>
    <row r="47" spans="1:18">
      <c r="A47">
        <v>2521.71</v>
      </c>
      <c r="B47">
        <v>42</v>
      </c>
      <c r="C47">
        <v>11</v>
      </c>
      <c r="D47">
        <v>3</v>
      </c>
      <c r="E47">
        <v>20</v>
      </c>
      <c r="F47">
        <v>29</v>
      </c>
      <c r="G47">
        <v>1</v>
      </c>
      <c r="H47">
        <v>0</v>
      </c>
      <c r="I47">
        <v>2</v>
      </c>
      <c r="K47">
        <f t="shared" si="0"/>
        <v>65</v>
      </c>
      <c r="N47">
        <f t="shared" si="1"/>
        <v>31</v>
      </c>
      <c r="R47">
        <f t="shared" si="2"/>
        <v>96</v>
      </c>
    </row>
    <row r="48" spans="1:18">
      <c r="A48">
        <v>2581.75</v>
      </c>
      <c r="B48">
        <v>40</v>
      </c>
      <c r="C48">
        <v>4</v>
      </c>
      <c r="D48">
        <v>0</v>
      </c>
      <c r="E48">
        <v>22</v>
      </c>
      <c r="F48">
        <v>19</v>
      </c>
      <c r="G48">
        <v>0</v>
      </c>
      <c r="H48">
        <v>1</v>
      </c>
      <c r="I48">
        <v>0</v>
      </c>
      <c r="K48">
        <f t="shared" si="0"/>
        <v>62</v>
      </c>
      <c r="N48">
        <f t="shared" si="1"/>
        <v>20</v>
      </c>
      <c r="R48">
        <f t="shared" si="2"/>
        <v>82</v>
      </c>
    </row>
    <row r="49" spans="1:18">
      <c r="A49">
        <v>2641.79</v>
      </c>
      <c r="B49">
        <v>50</v>
      </c>
      <c r="C49">
        <v>7</v>
      </c>
      <c r="D49">
        <v>0</v>
      </c>
      <c r="E49">
        <v>13</v>
      </c>
      <c r="F49">
        <v>19</v>
      </c>
      <c r="G49">
        <v>1</v>
      </c>
      <c r="H49">
        <v>1</v>
      </c>
      <c r="I49">
        <v>3</v>
      </c>
      <c r="K49">
        <f t="shared" si="0"/>
        <v>63</v>
      </c>
      <c r="N49">
        <f t="shared" si="1"/>
        <v>23</v>
      </c>
      <c r="R49">
        <f t="shared" si="2"/>
        <v>86</v>
      </c>
    </row>
    <row r="50" spans="1:18">
      <c r="A50">
        <v>2701.83</v>
      </c>
      <c r="B50">
        <v>38</v>
      </c>
      <c r="C50">
        <v>6</v>
      </c>
      <c r="D50">
        <v>1</v>
      </c>
      <c r="E50">
        <v>17</v>
      </c>
      <c r="F50">
        <v>18</v>
      </c>
      <c r="G50">
        <v>2</v>
      </c>
      <c r="H50">
        <v>2</v>
      </c>
      <c r="I50">
        <v>2</v>
      </c>
      <c r="K50">
        <f t="shared" si="0"/>
        <v>56</v>
      </c>
      <c r="N50">
        <f t="shared" si="1"/>
        <v>22</v>
      </c>
      <c r="R50">
        <f t="shared" si="2"/>
        <v>78</v>
      </c>
    </row>
    <row r="51" spans="1:18">
      <c r="A51">
        <v>2761.87</v>
      </c>
      <c r="B51">
        <v>39</v>
      </c>
      <c r="C51">
        <v>6</v>
      </c>
      <c r="D51">
        <v>-1</v>
      </c>
      <c r="E51">
        <v>18</v>
      </c>
      <c r="F51">
        <v>21</v>
      </c>
      <c r="G51">
        <v>2</v>
      </c>
      <c r="H51">
        <v>2</v>
      </c>
      <c r="I51">
        <v>-1</v>
      </c>
      <c r="K51">
        <f t="shared" si="0"/>
        <v>56</v>
      </c>
      <c r="N51">
        <f t="shared" si="1"/>
        <v>22</v>
      </c>
      <c r="R51">
        <f t="shared" si="2"/>
        <v>78</v>
      </c>
    </row>
    <row r="52" spans="1:18">
      <c r="A52">
        <v>2821.91</v>
      </c>
      <c r="B52">
        <v>38</v>
      </c>
      <c r="C52">
        <v>7</v>
      </c>
      <c r="D52">
        <v>0</v>
      </c>
      <c r="E52">
        <v>16</v>
      </c>
      <c r="F52">
        <v>21</v>
      </c>
      <c r="G52">
        <v>0</v>
      </c>
      <c r="H52">
        <v>0</v>
      </c>
      <c r="I52">
        <v>7</v>
      </c>
      <c r="K52">
        <f t="shared" si="0"/>
        <v>54</v>
      </c>
      <c r="N52">
        <f t="shared" si="1"/>
        <v>28</v>
      </c>
      <c r="R52">
        <f t="shared" si="2"/>
        <v>82</v>
      </c>
    </row>
    <row r="53" spans="1:18">
      <c r="A53">
        <v>2881.95</v>
      </c>
      <c r="B53">
        <v>44</v>
      </c>
      <c r="C53">
        <v>2</v>
      </c>
      <c r="D53">
        <v>0</v>
      </c>
      <c r="E53">
        <v>25</v>
      </c>
      <c r="F53">
        <v>17</v>
      </c>
      <c r="G53">
        <v>0</v>
      </c>
      <c r="H53">
        <v>1</v>
      </c>
      <c r="I53">
        <v>2</v>
      </c>
      <c r="K53">
        <f t="shared" si="0"/>
        <v>69</v>
      </c>
      <c r="N53">
        <f t="shared" si="1"/>
        <v>20</v>
      </c>
      <c r="R53">
        <f t="shared" si="2"/>
        <v>89</v>
      </c>
    </row>
    <row r="54" spans="1:18">
      <c r="A54">
        <v>2941.9900000000002</v>
      </c>
      <c r="B54">
        <v>50</v>
      </c>
      <c r="C54">
        <v>6</v>
      </c>
      <c r="D54">
        <v>0</v>
      </c>
      <c r="E54">
        <v>17</v>
      </c>
      <c r="F54">
        <v>15</v>
      </c>
      <c r="G54">
        <v>1</v>
      </c>
      <c r="H54">
        <v>2</v>
      </c>
      <c r="I54">
        <v>-1</v>
      </c>
      <c r="K54">
        <f t="shared" si="0"/>
        <v>67</v>
      </c>
      <c r="N54">
        <f t="shared" si="1"/>
        <v>16</v>
      </c>
      <c r="R54">
        <f t="shared" si="2"/>
        <v>83</v>
      </c>
    </row>
    <row r="55" spans="1:18">
      <c r="A55">
        <v>3002.04</v>
      </c>
      <c r="B55">
        <v>45</v>
      </c>
      <c r="C55">
        <v>6</v>
      </c>
      <c r="D55">
        <v>0</v>
      </c>
      <c r="E55">
        <v>11</v>
      </c>
      <c r="F55">
        <v>12</v>
      </c>
      <c r="G55">
        <v>2</v>
      </c>
      <c r="H55">
        <v>0</v>
      </c>
      <c r="I55">
        <v>6</v>
      </c>
      <c r="K55">
        <f t="shared" si="0"/>
        <v>56</v>
      </c>
      <c r="N55">
        <f t="shared" si="1"/>
        <v>18</v>
      </c>
      <c r="R55">
        <f t="shared" si="2"/>
        <v>74</v>
      </c>
    </row>
    <row r="56" spans="1:18">
      <c r="A56">
        <v>3062.08</v>
      </c>
      <c r="B56">
        <v>47</v>
      </c>
      <c r="C56">
        <v>9</v>
      </c>
      <c r="D56">
        <v>1</v>
      </c>
      <c r="E56">
        <v>18</v>
      </c>
      <c r="F56">
        <v>17</v>
      </c>
      <c r="G56">
        <v>0</v>
      </c>
      <c r="H56">
        <v>0</v>
      </c>
      <c r="I56">
        <v>1</v>
      </c>
      <c r="K56">
        <f t="shared" si="0"/>
        <v>66</v>
      </c>
      <c r="N56">
        <f t="shared" si="1"/>
        <v>18</v>
      </c>
      <c r="R56">
        <f t="shared" si="2"/>
        <v>84</v>
      </c>
    </row>
    <row r="57" spans="1:18">
      <c r="A57">
        <v>3122.12</v>
      </c>
      <c r="B57">
        <v>36</v>
      </c>
      <c r="C57">
        <v>12</v>
      </c>
      <c r="D57">
        <v>0</v>
      </c>
      <c r="E57">
        <v>17</v>
      </c>
      <c r="F57">
        <v>13</v>
      </c>
      <c r="G57">
        <v>1</v>
      </c>
      <c r="H57">
        <v>0</v>
      </c>
      <c r="I57">
        <v>1</v>
      </c>
      <c r="K57">
        <f t="shared" si="0"/>
        <v>53</v>
      </c>
      <c r="N57">
        <f t="shared" si="1"/>
        <v>14</v>
      </c>
      <c r="R57">
        <f t="shared" si="2"/>
        <v>67</v>
      </c>
    </row>
    <row r="58" spans="1:18">
      <c r="A58">
        <v>3182.16</v>
      </c>
      <c r="B58">
        <v>47</v>
      </c>
      <c r="C58">
        <v>6</v>
      </c>
      <c r="D58">
        <v>1</v>
      </c>
      <c r="E58">
        <v>16</v>
      </c>
      <c r="F58">
        <v>16</v>
      </c>
      <c r="G58">
        <v>0</v>
      </c>
      <c r="H58">
        <v>1</v>
      </c>
      <c r="I58">
        <v>2</v>
      </c>
      <c r="K58">
        <f t="shared" si="0"/>
        <v>64</v>
      </c>
      <c r="N58">
        <f t="shared" si="1"/>
        <v>19</v>
      </c>
      <c r="R58">
        <f t="shared" si="2"/>
        <v>83</v>
      </c>
    </row>
    <row r="59" spans="1:18">
      <c r="A59">
        <v>3242.2</v>
      </c>
      <c r="B59">
        <v>41</v>
      </c>
      <c r="C59">
        <v>3</v>
      </c>
      <c r="D59">
        <v>-1</v>
      </c>
      <c r="E59">
        <v>6</v>
      </c>
      <c r="F59">
        <v>6</v>
      </c>
      <c r="G59">
        <v>2</v>
      </c>
      <c r="H59">
        <v>2</v>
      </c>
      <c r="I59">
        <v>3</v>
      </c>
      <c r="K59">
        <f t="shared" si="0"/>
        <v>46</v>
      </c>
      <c r="N59">
        <f t="shared" si="1"/>
        <v>11</v>
      </c>
      <c r="R59">
        <f t="shared" si="2"/>
        <v>57</v>
      </c>
    </row>
    <row r="60" spans="1:18">
      <c r="A60">
        <v>3302.2400000000002</v>
      </c>
      <c r="B60">
        <v>40</v>
      </c>
      <c r="C60">
        <v>9</v>
      </c>
      <c r="D60">
        <v>0</v>
      </c>
      <c r="E60">
        <v>15</v>
      </c>
      <c r="F60">
        <v>12</v>
      </c>
      <c r="G60">
        <v>0</v>
      </c>
      <c r="H60">
        <v>0</v>
      </c>
      <c r="I60">
        <v>7</v>
      </c>
      <c r="K60">
        <f t="shared" si="0"/>
        <v>55</v>
      </c>
      <c r="N60">
        <f t="shared" si="1"/>
        <v>19</v>
      </c>
      <c r="R60">
        <f t="shared" si="2"/>
        <v>74</v>
      </c>
    </row>
    <row r="61" spans="1:18">
      <c r="A61">
        <v>3362.28</v>
      </c>
      <c r="B61">
        <v>59</v>
      </c>
      <c r="C61">
        <v>3</v>
      </c>
      <c r="D61">
        <v>0</v>
      </c>
      <c r="E61">
        <v>11</v>
      </c>
      <c r="F61">
        <v>13</v>
      </c>
      <c r="G61">
        <v>4</v>
      </c>
      <c r="H61">
        <v>0</v>
      </c>
      <c r="I61">
        <v>6</v>
      </c>
      <c r="K61">
        <f t="shared" si="0"/>
        <v>70</v>
      </c>
      <c r="N61">
        <f t="shared" si="1"/>
        <v>19</v>
      </c>
      <c r="R61">
        <f t="shared" si="2"/>
        <v>89</v>
      </c>
    </row>
    <row r="62" spans="1:18">
      <c r="A62">
        <v>3422.32</v>
      </c>
      <c r="B62">
        <v>43</v>
      </c>
      <c r="C62">
        <v>12</v>
      </c>
      <c r="D62">
        <v>0</v>
      </c>
      <c r="E62">
        <v>16</v>
      </c>
      <c r="F62">
        <v>17</v>
      </c>
      <c r="G62">
        <v>0</v>
      </c>
      <c r="H62">
        <v>0</v>
      </c>
      <c r="I62">
        <v>1</v>
      </c>
      <c r="K62">
        <f t="shared" si="0"/>
        <v>59</v>
      </c>
      <c r="N62">
        <f t="shared" si="1"/>
        <v>18</v>
      </c>
      <c r="R62">
        <f t="shared" si="2"/>
        <v>77</v>
      </c>
    </row>
    <row r="63" spans="1:18">
      <c r="A63">
        <v>3482.36</v>
      </c>
      <c r="B63">
        <v>49</v>
      </c>
      <c r="C63">
        <v>3</v>
      </c>
      <c r="D63">
        <v>0</v>
      </c>
      <c r="E63">
        <v>13</v>
      </c>
      <c r="F63">
        <v>18</v>
      </c>
      <c r="G63">
        <v>0</v>
      </c>
      <c r="H63">
        <v>4</v>
      </c>
      <c r="I63">
        <v>5</v>
      </c>
      <c r="K63">
        <f t="shared" si="0"/>
        <v>62</v>
      </c>
      <c r="N63">
        <f t="shared" si="1"/>
        <v>27</v>
      </c>
      <c r="R63">
        <f t="shared" si="2"/>
        <v>89</v>
      </c>
    </row>
    <row r="64" spans="1:18">
      <c r="A64">
        <v>3542.4</v>
      </c>
      <c r="B64">
        <v>42</v>
      </c>
      <c r="C64">
        <v>5</v>
      </c>
      <c r="D64">
        <v>3</v>
      </c>
      <c r="E64">
        <v>22</v>
      </c>
      <c r="F64">
        <v>16</v>
      </c>
      <c r="G64">
        <v>1</v>
      </c>
      <c r="H64">
        <v>0</v>
      </c>
      <c r="I64">
        <v>2</v>
      </c>
      <c r="K64">
        <f t="shared" si="0"/>
        <v>67</v>
      </c>
      <c r="N64">
        <f t="shared" si="1"/>
        <v>18</v>
      </c>
      <c r="R64">
        <f t="shared" si="2"/>
        <v>85</v>
      </c>
    </row>
    <row r="65" spans="1:18">
      <c r="A65" s="6">
        <v>3600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>
      <c r="A66">
        <v>3662.48</v>
      </c>
      <c r="B66">
        <v>61</v>
      </c>
      <c r="C66">
        <v>10</v>
      </c>
      <c r="D66">
        <v>2</v>
      </c>
      <c r="E66">
        <v>15</v>
      </c>
      <c r="F66">
        <v>9</v>
      </c>
      <c r="G66">
        <v>4</v>
      </c>
      <c r="H66">
        <v>-1</v>
      </c>
      <c r="I66">
        <v>6</v>
      </c>
      <c r="K66">
        <f t="shared" si="0"/>
        <v>78</v>
      </c>
      <c r="N66">
        <f t="shared" si="1"/>
        <v>14</v>
      </c>
      <c r="R66">
        <f t="shared" si="2"/>
        <v>92</v>
      </c>
    </row>
    <row r="67" spans="1:18">
      <c r="A67">
        <v>3722.52</v>
      </c>
      <c r="B67">
        <v>36</v>
      </c>
      <c r="C67">
        <v>7</v>
      </c>
      <c r="D67">
        <v>1</v>
      </c>
      <c r="E67">
        <v>19</v>
      </c>
      <c r="F67">
        <v>14</v>
      </c>
      <c r="G67">
        <v>1</v>
      </c>
      <c r="H67">
        <v>1</v>
      </c>
      <c r="I67">
        <v>3</v>
      </c>
      <c r="K67">
        <f t="shared" si="0"/>
        <v>56</v>
      </c>
      <c r="N67">
        <f t="shared" si="1"/>
        <v>18</v>
      </c>
      <c r="R67">
        <f t="shared" si="2"/>
        <v>74</v>
      </c>
    </row>
    <row r="68" spans="1:18"/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5"/>
  <sheetViews>
    <sheetView zoomScale="50" zoomScaleNormal="50" workbookViewId="0">
      <selection activeCell="B1" sqref="B1:B1048576"/>
    </sheetView>
  </sheetViews>
  <sheetFormatPr defaultRowHeight="16.149999999999999"/>
  <sheetData>
    <row r="1" spans="1:44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</row>
    <row r="2" spans="1:44">
      <c r="A2" s="1">
        <v>46110.852858796294</v>
      </c>
      <c r="B2">
        <v>60.04</v>
      </c>
      <c r="C2">
        <v>36</v>
      </c>
      <c r="D2">
        <v>9</v>
      </c>
      <c r="E2">
        <v>0</v>
      </c>
      <c r="F2">
        <v>13</v>
      </c>
      <c r="G2">
        <v>14</v>
      </c>
      <c r="H2">
        <v>1</v>
      </c>
      <c r="I2">
        <v>1</v>
      </c>
      <c r="J2">
        <v>5</v>
      </c>
      <c r="K2">
        <v>4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7</v>
      </c>
      <c r="X2">
        <v>0</v>
      </c>
      <c r="Y2">
        <v>0</v>
      </c>
      <c r="Z2">
        <v>2</v>
      </c>
      <c r="AA2">
        <v>2</v>
      </c>
      <c r="AB2">
        <v>0</v>
      </c>
      <c r="AC2">
        <v>0</v>
      </c>
      <c r="AD2">
        <v>0</v>
      </c>
      <c r="AE2">
        <v>2</v>
      </c>
      <c r="AF2">
        <v>0</v>
      </c>
      <c r="AG2">
        <v>0</v>
      </c>
      <c r="AH2">
        <v>0</v>
      </c>
      <c r="AJ2">
        <f>K2+O2+S2</f>
        <v>5</v>
      </c>
      <c r="AK2">
        <f t="shared" ref="AK2:AM2" si="0">L2+P2+T2</f>
        <v>0</v>
      </c>
      <c r="AL2">
        <f t="shared" si="0"/>
        <v>0</v>
      </c>
      <c r="AM2">
        <f t="shared" si="0"/>
        <v>1</v>
      </c>
      <c r="AO2">
        <f>W2+AA2+AE2</f>
        <v>11</v>
      </c>
      <c r="AP2">
        <f t="shared" ref="AP2:AR2" si="1">X2+AB2+AF2</f>
        <v>0</v>
      </c>
      <c r="AQ2">
        <f t="shared" si="1"/>
        <v>0</v>
      </c>
      <c r="AR2">
        <f t="shared" si="1"/>
        <v>2</v>
      </c>
    </row>
    <row r="3" spans="1:44">
      <c r="A3" s="1">
        <v>46110.855208333334</v>
      </c>
      <c r="B3">
        <v>120.08</v>
      </c>
      <c r="C3">
        <v>73</v>
      </c>
      <c r="D3">
        <v>11</v>
      </c>
      <c r="E3">
        <v>0</v>
      </c>
      <c r="F3">
        <v>26</v>
      </c>
      <c r="G3">
        <v>34</v>
      </c>
      <c r="H3">
        <v>2</v>
      </c>
      <c r="I3">
        <v>1</v>
      </c>
      <c r="J3">
        <v>9</v>
      </c>
      <c r="K3">
        <v>10</v>
      </c>
      <c r="L3">
        <v>1</v>
      </c>
      <c r="M3">
        <v>0</v>
      </c>
      <c r="N3">
        <v>4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11</v>
      </c>
      <c r="X3">
        <v>0</v>
      </c>
      <c r="Y3">
        <v>0</v>
      </c>
      <c r="Z3">
        <v>6</v>
      </c>
      <c r="AA3">
        <v>4</v>
      </c>
      <c r="AB3">
        <v>0</v>
      </c>
      <c r="AC3">
        <v>0</v>
      </c>
      <c r="AD3">
        <v>0</v>
      </c>
      <c r="AE3">
        <v>4</v>
      </c>
      <c r="AF3">
        <v>0</v>
      </c>
      <c r="AG3">
        <v>0</v>
      </c>
      <c r="AH3">
        <v>0</v>
      </c>
      <c r="AJ3">
        <f t="shared" ref="AJ3:AJ64" si="2">K3+O3+S3</f>
        <v>11</v>
      </c>
      <c r="AK3">
        <f t="shared" ref="AK3:AK64" si="3">L3+P3+T3</f>
        <v>1</v>
      </c>
      <c r="AL3">
        <f t="shared" ref="AL3:AL64" si="4">M3+Q3+U3</f>
        <v>0</v>
      </c>
      <c r="AM3">
        <f t="shared" ref="AM3:AM64" si="5">N3+R3+V3</f>
        <v>4</v>
      </c>
      <c r="AO3">
        <f t="shared" ref="AO3:AO64" si="6">W3+AA3+AE3</f>
        <v>19</v>
      </c>
      <c r="AP3">
        <f t="shared" ref="AP3:AP64" si="7">X3+AB3+AF3</f>
        <v>0</v>
      </c>
      <c r="AQ3">
        <f t="shared" ref="AQ3:AQ64" si="8">Y3+AC3+AG3</f>
        <v>0</v>
      </c>
      <c r="AR3">
        <f t="shared" ref="AR3:AR64" si="9">Z3+AD3+AH3</f>
        <v>6</v>
      </c>
    </row>
    <row r="4" spans="1:44">
      <c r="A4" s="1">
        <v>46110.857557870368</v>
      </c>
      <c r="B4">
        <v>180.12</v>
      </c>
      <c r="C4">
        <v>98</v>
      </c>
      <c r="D4">
        <v>16</v>
      </c>
      <c r="E4">
        <v>0</v>
      </c>
      <c r="F4">
        <v>44</v>
      </c>
      <c r="G4">
        <v>51</v>
      </c>
      <c r="H4">
        <v>2</v>
      </c>
      <c r="I4">
        <v>2</v>
      </c>
      <c r="J4">
        <v>15</v>
      </c>
      <c r="K4">
        <v>17</v>
      </c>
      <c r="L4">
        <v>1</v>
      </c>
      <c r="M4">
        <v>0</v>
      </c>
      <c r="N4">
        <v>7</v>
      </c>
      <c r="O4">
        <v>0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16</v>
      </c>
      <c r="X4">
        <v>0</v>
      </c>
      <c r="Y4">
        <v>0</v>
      </c>
      <c r="Z4">
        <v>7</v>
      </c>
      <c r="AA4">
        <v>8</v>
      </c>
      <c r="AB4">
        <v>0</v>
      </c>
      <c r="AC4">
        <v>0</v>
      </c>
      <c r="AD4">
        <v>1</v>
      </c>
      <c r="AE4">
        <v>7</v>
      </c>
      <c r="AF4">
        <v>0</v>
      </c>
      <c r="AG4">
        <v>0</v>
      </c>
      <c r="AH4">
        <v>0</v>
      </c>
      <c r="AJ4">
        <f t="shared" si="2"/>
        <v>19</v>
      </c>
      <c r="AK4">
        <f t="shared" si="3"/>
        <v>1</v>
      </c>
      <c r="AL4">
        <f t="shared" si="4"/>
        <v>0</v>
      </c>
      <c r="AM4">
        <f t="shared" si="5"/>
        <v>7</v>
      </c>
      <c r="AO4">
        <f t="shared" si="6"/>
        <v>31</v>
      </c>
      <c r="AP4">
        <f t="shared" si="7"/>
        <v>0</v>
      </c>
      <c r="AQ4">
        <f t="shared" si="8"/>
        <v>0</v>
      </c>
      <c r="AR4">
        <f t="shared" si="9"/>
        <v>8</v>
      </c>
    </row>
    <row r="5" spans="1:44">
      <c r="A5" s="1">
        <v>46110.859907407408</v>
      </c>
      <c r="B5">
        <v>240.16</v>
      </c>
      <c r="C5">
        <v>142</v>
      </c>
      <c r="D5">
        <v>21</v>
      </c>
      <c r="E5">
        <v>0</v>
      </c>
      <c r="F5">
        <v>55</v>
      </c>
      <c r="G5">
        <v>68</v>
      </c>
      <c r="H5">
        <v>5</v>
      </c>
      <c r="I5">
        <v>7</v>
      </c>
      <c r="J5">
        <v>17</v>
      </c>
      <c r="K5">
        <v>21</v>
      </c>
      <c r="L5">
        <v>1</v>
      </c>
      <c r="M5">
        <v>1</v>
      </c>
      <c r="N5">
        <v>8</v>
      </c>
      <c r="O5">
        <v>1</v>
      </c>
      <c r="P5">
        <v>1</v>
      </c>
      <c r="Q5">
        <v>0</v>
      </c>
      <c r="R5">
        <v>0</v>
      </c>
      <c r="S5">
        <v>2</v>
      </c>
      <c r="T5">
        <v>0</v>
      </c>
      <c r="U5">
        <v>0</v>
      </c>
      <c r="V5">
        <v>0</v>
      </c>
      <c r="W5">
        <v>17</v>
      </c>
      <c r="X5">
        <v>0</v>
      </c>
      <c r="Y5">
        <v>2</v>
      </c>
      <c r="Z5">
        <v>8</v>
      </c>
      <c r="AA5">
        <v>12</v>
      </c>
      <c r="AB5">
        <v>0</v>
      </c>
      <c r="AC5">
        <v>1</v>
      </c>
      <c r="AD5">
        <v>2</v>
      </c>
      <c r="AE5">
        <v>13</v>
      </c>
      <c r="AF5">
        <v>0</v>
      </c>
      <c r="AG5">
        <v>0</v>
      </c>
      <c r="AH5">
        <v>0</v>
      </c>
      <c r="AJ5">
        <f t="shared" si="2"/>
        <v>24</v>
      </c>
      <c r="AK5">
        <f t="shared" si="3"/>
        <v>2</v>
      </c>
      <c r="AL5">
        <f t="shared" si="4"/>
        <v>1</v>
      </c>
      <c r="AM5">
        <f t="shared" si="5"/>
        <v>8</v>
      </c>
      <c r="AO5">
        <f t="shared" si="6"/>
        <v>42</v>
      </c>
      <c r="AP5">
        <f t="shared" si="7"/>
        <v>0</v>
      </c>
      <c r="AQ5">
        <f t="shared" si="8"/>
        <v>3</v>
      </c>
      <c r="AR5">
        <f t="shared" si="9"/>
        <v>10</v>
      </c>
    </row>
    <row r="6" spans="1:44">
      <c r="A6" s="1">
        <v>46110.862256944441</v>
      </c>
      <c r="B6">
        <v>300.2</v>
      </c>
      <c r="C6">
        <v>207</v>
      </c>
      <c r="D6">
        <v>31</v>
      </c>
      <c r="E6">
        <v>0</v>
      </c>
      <c r="F6">
        <v>71</v>
      </c>
      <c r="G6">
        <v>86</v>
      </c>
      <c r="H6">
        <v>5</v>
      </c>
      <c r="I6">
        <v>7</v>
      </c>
      <c r="J6">
        <v>20</v>
      </c>
      <c r="K6">
        <v>26</v>
      </c>
      <c r="L6">
        <v>1</v>
      </c>
      <c r="M6">
        <v>2</v>
      </c>
      <c r="N6">
        <v>16</v>
      </c>
      <c r="O6">
        <v>2</v>
      </c>
      <c r="P6">
        <v>1</v>
      </c>
      <c r="Q6">
        <v>0</v>
      </c>
      <c r="R6">
        <v>0</v>
      </c>
      <c r="S6">
        <v>3</v>
      </c>
      <c r="T6">
        <v>0</v>
      </c>
      <c r="U6">
        <v>0</v>
      </c>
      <c r="V6">
        <v>0</v>
      </c>
      <c r="W6">
        <v>22</v>
      </c>
      <c r="X6">
        <v>0</v>
      </c>
      <c r="Y6">
        <v>2</v>
      </c>
      <c r="Z6">
        <v>11</v>
      </c>
      <c r="AA6">
        <v>14</v>
      </c>
      <c r="AB6">
        <v>0</v>
      </c>
      <c r="AC6">
        <v>1</v>
      </c>
      <c r="AD6">
        <v>2</v>
      </c>
      <c r="AE6">
        <v>14</v>
      </c>
      <c r="AF6">
        <v>0</v>
      </c>
      <c r="AG6">
        <v>0</v>
      </c>
      <c r="AH6">
        <v>0</v>
      </c>
      <c r="AJ6">
        <f t="shared" si="2"/>
        <v>31</v>
      </c>
      <c r="AK6">
        <f t="shared" si="3"/>
        <v>2</v>
      </c>
      <c r="AL6">
        <f t="shared" si="4"/>
        <v>2</v>
      </c>
      <c r="AM6">
        <f t="shared" si="5"/>
        <v>16</v>
      </c>
      <c r="AO6">
        <f t="shared" si="6"/>
        <v>50</v>
      </c>
      <c r="AP6">
        <f t="shared" si="7"/>
        <v>0</v>
      </c>
      <c r="AQ6">
        <f t="shared" si="8"/>
        <v>3</v>
      </c>
      <c r="AR6">
        <f t="shared" si="9"/>
        <v>13</v>
      </c>
    </row>
    <row r="7" spans="1:44">
      <c r="A7" s="1">
        <v>46110.864606481482</v>
      </c>
      <c r="B7">
        <v>360.24</v>
      </c>
      <c r="C7">
        <v>245</v>
      </c>
      <c r="D7">
        <v>34</v>
      </c>
      <c r="E7">
        <v>0</v>
      </c>
      <c r="F7">
        <v>97</v>
      </c>
      <c r="G7">
        <v>106</v>
      </c>
      <c r="H7">
        <v>8</v>
      </c>
      <c r="I7">
        <v>7</v>
      </c>
      <c r="J7">
        <v>22</v>
      </c>
      <c r="K7">
        <v>30</v>
      </c>
      <c r="L7">
        <v>3</v>
      </c>
      <c r="M7">
        <v>2</v>
      </c>
      <c r="N7">
        <v>18</v>
      </c>
      <c r="O7">
        <v>3</v>
      </c>
      <c r="P7">
        <v>1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25</v>
      </c>
      <c r="X7">
        <v>0</v>
      </c>
      <c r="Y7">
        <v>2</v>
      </c>
      <c r="Z7">
        <v>11</v>
      </c>
      <c r="AA7">
        <v>15</v>
      </c>
      <c r="AB7">
        <v>0</v>
      </c>
      <c r="AC7">
        <v>1</v>
      </c>
      <c r="AD7">
        <v>2</v>
      </c>
      <c r="AE7">
        <v>15</v>
      </c>
      <c r="AF7">
        <v>0</v>
      </c>
      <c r="AG7">
        <v>0</v>
      </c>
      <c r="AH7">
        <v>1</v>
      </c>
      <c r="AJ7">
        <f t="shared" si="2"/>
        <v>36</v>
      </c>
      <c r="AK7">
        <f t="shared" si="3"/>
        <v>4</v>
      </c>
      <c r="AL7">
        <f t="shared" si="4"/>
        <v>2</v>
      </c>
      <c r="AM7">
        <f t="shared" si="5"/>
        <v>18</v>
      </c>
      <c r="AO7">
        <f t="shared" si="6"/>
        <v>55</v>
      </c>
      <c r="AP7">
        <f t="shared" si="7"/>
        <v>0</v>
      </c>
      <c r="AQ7">
        <f t="shared" si="8"/>
        <v>3</v>
      </c>
      <c r="AR7">
        <f t="shared" si="9"/>
        <v>14</v>
      </c>
    </row>
    <row r="8" spans="1:44">
      <c r="A8" s="1">
        <v>46110.866967592592</v>
      </c>
      <c r="B8">
        <v>420.28</v>
      </c>
      <c r="C8">
        <v>294</v>
      </c>
      <c r="D8">
        <v>39</v>
      </c>
      <c r="E8">
        <v>1</v>
      </c>
      <c r="F8">
        <v>108</v>
      </c>
      <c r="G8">
        <v>120</v>
      </c>
      <c r="H8">
        <v>9</v>
      </c>
      <c r="I8">
        <v>8</v>
      </c>
      <c r="J8">
        <v>23</v>
      </c>
      <c r="K8">
        <v>34</v>
      </c>
      <c r="L8">
        <v>3</v>
      </c>
      <c r="M8">
        <v>2</v>
      </c>
      <c r="N8">
        <v>18</v>
      </c>
      <c r="O8">
        <v>4</v>
      </c>
      <c r="P8">
        <v>1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29</v>
      </c>
      <c r="X8">
        <v>0</v>
      </c>
      <c r="Y8">
        <v>2</v>
      </c>
      <c r="Z8">
        <v>11</v>
      </c>
      <c r="AA8">
        <v>16</v>
      </c>
      <c r="AB8">
        <v>0</v>
      </c>
      <c r="AC8">
        <v>1</v>
      </c>
      <c r="AD8">
        <v>2</v>
      </c>
      <c r="AE8">
        <v>16</v>
      </c>
      <c r="AF8">
        <v>0</v>
      </c>
      <c r="AG8">
        <v>0</v>
      </c>
      <c r="AH8">
        <v>1</v>
      </c>
      <c r="AJ8">
        <f t="shared" si="2"/>
        <v>41</v>
      </c>
      <c r="AK8">
        <f t="shared" si="3"/>
        <v>4</v>
      </c>
      <c r="AL8">
        <f t="shared" si="4"/>
        <v>2</v>
      </c>
      <c r="AM8">
        <f t="shared" si="5"/>
        <v>18</v>
      </c>
      <c r="AO8">
        <f t="shared" si="6"/>
        <v>61</v>
      </c>
      <c r="AP8">
        <f t="shared" si="7"/>
        <v>0</v>
      </c>
      <c r="AQ8">
        <f t="shared" si="8"/>
        <v>3</v>
      </c>
      <c r="AR8">
        <f t="shared" si="9"/>
        <v>14</v>
      </c>
    </row>
    <row r="9" spans="1:44">
      <c r="A9" s="1">
        <v>46110.869317129633</v>
      </c>
      <c r="B9">
        <v>480.33</v>
      </c>
      <c r="C9">
        <v>332</v>
      </c>
      <c r="D9">
        <v>43</v>
      </c>
      <c r="E9">
        <v>2</v>
      </c>
      <c r="F9">
        <v>131</v>
      </c>
      <c r="G9">
        <v>128</v>
      </c>
      <c r="H9">
        <v>9</v>
      </c>
      <c r="I9">
        <v>9</v>
      </c>
      <c r="J9">
        <v>31</v>
      </c>
      <c r="K9">
        <v>39</v>
      </c>
      <c r="L9">
        <v>3</v>
      </c>
      <c r="M9">
        <v>2</v>
      </c>
      <c r="N9">
        <v>18</v>
      </c>
      <c r="O9">
        <v>4</v>
      </c>
      <c r="P9">
        <v>1</v>
      </c>
      <c r="Q9">
        <v>0</v>
      </c>
      <c r="R9">
        <v>0</v>
      </c>
      <c r="S9">
        <v>3</v>
      </c>
      <c r="T9">
        <v>0</v>
      </c>
      <c r="U9">
        <v>0</v>
      </c>
      <c r="V9">
        <v>0</v>
      </c>
      <c r="W9">
        <v>33</v>
      </c>
      <c r="X9">
        <v>0</v>
      </c>
      <c r="Y9">
        <v>2</v>
      </c>
      <c r="Z9">
        <v>14</v>
      </c>
      <c r="AA9">
        <v>17</v>
      </c>
      <c r="AB9">
        <v>0</v>
      </c>
      <c r="AC9">
        <v>1</v>
      </c>
      <c r="AD9">
        <v>3</v>
      </c>
      <c r="AE9">
        <v>17</v>
      </c>
      <c r="AF9">
        <v>0</v>
      </c>
      <c r="AG9">
        <v>0</v>
      </c>
      <c r="AH9">
        <v>1</v>
      </c>
      <c r="AJ9">
        <f t="shared" si="2"/>
        <v>46</v>
      </c>
      <c r="AK9">
        <f t="shared" si="3"/>
        <v>4</v>
      </c>
      <c r="AL9">
        <f t="shared" si="4"/>
        <v>2</v>
      </c>
      <c r="AM9">
        <f t="shared" si="5"/>
        <v>18</v>
      </c>
      <c r="AO9">
        <f t="shared" si="6"/>
        <v>67</v>
      </c>
      <c r="AP9">
        <f t="shared" si="7"/>
        <v>0</v>
      </c>
      <c r="AQ9">
        <f t="shared" si="8"/>
        <v>3</v>
      </c>
      <c r="AR9">
        <f t="shared" si="9"/>
        <v>18</v>
      </c>
    </row>
    <row r="10" spans="1:44">
      <c r="A10" s="1">
        <v>46110.871666666666</v>
      </c>
      <c r="B10">
        <v>540.37</v>
      </c>
      <c r="C10">
        <v>379</v>
      </c>
      <c r="D10">
        <v>48</v>
      </c>
      <c r="E10">
        <v>2</v>
      </c>
      <c r="F10">
        <v>153</v>
      </c>
      <c r="G10">
        <v>149</v>
      </c>
      <c r="H10">
        <v>11</v>
      </c>
      <c r="I10">
        <v>9</v>
      </c>
      <c r="J10">
        <v>33</v>
      </c>
      <c r="K10">
        <v>42</v>
      </c>
      <c r="L10">
        <v>3</v>
      </c>
      <c r="M10">
        <v>2</v>
      </c>
      <c r="N10">
        <v>18</v>
      </c>
      <c r="O10">
        <v>4</v>
      </c>
      <c r="P10">
        <v>1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42</v>
      </c>
      <c r="X10">
        <v>0</v>
      </c>
      <c r="Y10">
        <v>2</v>
      </c>
      <c r="Z10">
        <v>15</v>
      </c>
      <c r="AA10">
        <v>21</v>
      </c>
      <c r="AB10">
        <v>0</v>
      </c>
      <c r="AC10">
        <v>1</v>
      </c>
      <c r="AD10">
        <v>3</v>
      </c>
      <c r="AE10">
        <v>19</v>
      </c>
      <c r="AF10">
        <v>1</v>
      </c>
      <c r="AG10">
        <v>0</v>
      </c>
      <c r="AH10">
        <v>1</v>
      </c>
      <c r="AJ10">
        <f t="shared" si="2"/>
        <v>49</v>
      </c>
      <c r="AK10">
        <f t="shared" si="3"/>
        <v>4</v>
      </c>
      <c r="AL10">
        <f t="shared" si="4"/>
        <v>2</v>
      </c>
      <c r="AM10">
        <f t="shared" si="5"/>
        <v>18</v>
      </c>
      <c r="AO10">
        <f t="shared" si="6"/>
        <v>82</v>
      </c>
      <c r="AP10">
        <f t="shared" si="7"/>
        <v>1</v>
      </c>
      <c r="AQ10">
        <f t="shared" si="8"/>
        <v>3</v>
      </c>
      <c r="AR10">
        <f t="shared" si="9"/>
        <v>19</v>
      </c>
    </row>
    <row r="11" spans="1:44">
      <c r="A11" s="1">
        <v>46110.874016203707</v>
      </c>
      <c r="B11">
        <v>600.41</v>
      </c>
      <c r="C11">
        <v>422</v>
      </c>
      <c r="D11">
        <v>51</v>
      </c>
      <c r="E11">
        <v>2</v>
      </c>
      <c r="F11">
        <v>168</v>
      </c>
      <c r="G11">
        <v>170</v>
      </c>
      <c r="H11">
        <v>11</v>
      </c>
      <c r="I11">
        <v>9</v>
      </c>
      <c r="J11">
        <v>38</v>
      </c>
      <c r="K11">
        <v>45</v>
      </c>
      <c r="L11">
        <v>3</v>
      </c>
      <c r="M11">
        <v>2</v>
      </c>
      <c r="N11">
        <v>19</v>
      </c>
      <c r="O11">
        <v>4</v>
      </c>
      <c r="P11">
        <v>2</v>
      </c>
      <c r="Q11">
        <v>0</v>
      </c>
      <c r="R11">
        <v>0</v>
      </c>
      <c r="S11">
        <v>3</v>
      </c>
      <c r="T11">
        <v>0</v>
      </c>
      <c r="U11">
        <v>0</v>
      </c>
      <c r="V11">
        <v>0</v>
      </c>
      <c r="W11">
        <v>49</v>
      </c>
      <c r="X11">
        <v>0</v>
      </c>
      <c r="Y11">
        <v>2</v>
      </c>
      <c r="Z11">
        <v>17</v>
      </c>
      <c r="AA11">
        <v>22</v>
      </c>
      <c r="AB11">
        <v>0</v>
      </c>
      <c r="AC11">
        <v>1</v>
      </c>
      <c r="AD11">
        <v>3</v>
      </c>
      <c r="AE11">
        <v>22</v>
      </c>
      <c r="AF11">
        <v>1</v>
      </c>
      <c r="AG11">
        <v>0</v>
      </c>
      <c r="AH11">
        <v>1</v>
      </c>
      <c r="AJ11">
        <f t="shared" si="2"/>
        <v>52</v>
      </c>
      <c r="AK11">
        <f t="shared" si="3"/>
        <v>5</v>
      </c>
      <c r="AL11">
        <f t="shared" si="4"/>
        <v>2</v>
      </c>
      <c r="AM11">
        <f t="shared" si="5"/>
        <v>19</v>
      </c>
      <c r="AO11">
        <f t="shared" si="6"/>
        <v>93</v>
      </c>
      <c r="AP11">
        <f t="shared" si="7"/>
        <v>1</v>
      </c>
      <c r="AQ11">
        <f t="shared" si="8"/>
        <v>3</v>
      </c>
      <c r="AR11">
        <f t="shared" si="9"/>
        <v>21</v>
      </c>
    </row>
    <row r="12" spans="1:44">
      <c r="A12" s="1">
        <v>46110.876388888886</v>
      </c>
      <c r="B12">
        <v>660.45</v>
      </c>
      <c r="C12">
        <v>469</v>
      </c>
      <c r="D12">
        <v>56</v>
      </c>
      <c r="E12">
        <v>2</v>
      </c>
      <c r="F12">
        <v>186</v>
      </c>
      <c r="G12">
        <v>184</v>
      </c>
      <c r="H12">
        <v>12</v>
      </c>
      <c r="I12">
        <v>9</v>
      </c>
      <c r="J12">
        <v>44</v>
      </c>
      <c r="K12">
        <v>49</v>
      </c>
      <c r="L12">
        <v>4</v>
      </c>
      <c r="M12">
        <v>2</v>
      </c>
      <c r="N12">
        <v>19</v>
      </c>
      <c r="O12">
        <v>4</v>
      </c>
      <c r="P12">
        <v>2</v>
      </c>
      <c r="Q12">
        <v>0</v>
      </c>
      <c r="R12">
        <v>0</v>
      </c>
      <c r="S12">
        <v>3</v>
      </c>
      <c r="T12">
        <v>0</v>
      </c>
      <c r="U12">
        <v>0</v>
      </c>
      <c r="V12">
        <v>0</v>
      </c>
      <c r="W12">
        <v>52</v>
      </c>
      <c r="X12">
        <v>0</v>
      </c>
      <c r="Y12">
        <v>2</v>
      </c>
      <c r="Z12">
        <v>19</v>
      </c>
      <c r="AA12">
        <v>26</v>
      </c>
      <c r="AB12">
        <v>0</v>
      </c>
      <c r="AC12">
        <v>1</v>
      </c>
      <c r="AD12">
        <v>3</v>
      </c>
      <c r="AE12">
        <v>24</v>
      </c>
      <c r="AF12">
        <v>1</v>
      </c>
      <c r="AG12">
        <v>0</v>
      </c>
      <c r="AH12">
        <v>1</v>
      </c>
      <c r="AJ12">
        <f t="shared" si="2"/>
        <v>56</v>
      </c>
      <c r="AK12">
        <f t="shared" si="3"/>
        <v>6</v>
      </c>
      <c r="AL12">
        <f t="shared" si="4"/>
        <v>2</v>
      </c>
      <c r="AM12">
        <f t="shared" si="5"/>
        <v>19</v>
      </c>
      <c r="AO12">
        <f t="shared" si="6"/>
        <v>102</v>
      </c>
      <c r="AP12">
        <f t="shared" si="7"/>
        <v>1</v>
      </c>
      <c r="AQ12">
        <f t="shared" si="8"/>
        <v>3</v>
      </c>
      <c r="AR12">
        <f t="shared" si="9"/>
        <v>23</v>
      </c>
    </row>
    <row r="13" spans="1:44">
      <c r="A13" s="1">
        <v>46110.878946759258</v>
      </c>
      <c r="B13">
        <v>720.49</v>
      </c>
      <c r="C13">
        <v>512</v>
      </c>
      <c r="D13">
        <v>65</v>
      </c>
      <c r="E13">
        <v>2</v>
      </c>
      <c r="F13">
        <v>198</v>
      </c>
      <c r="G13">
        <v>207</v>
      </c>
      <c r="H13">
        <v>13</v>
      </c>
      <c r="I13">
        <v>9</v>
      </c>
      <c r="J13">
        <v>49</v>
      </c>
      <c r="K13">
        <v>58</v>
      </c>
      <c r="L13">
        <v>5</v>
      </c>
      <c r="M13">
        <v>2</v>
      </c>
      <c r="N13">
        <v>24</v>
      </c>
      <c r="O13">
        <v>4</v>
      </c>
      <c r="P13">
        <v>2</v>
      </c>
      <c r="Q13">
        <v>0</v>
      </c>
      <c r="R13">
        <v>0</v>
      </c>
      <c r="S13">
        <v>3</v>
      </c>
      <c r="T13">
        <v>1</v>
      </c>
      <c r="U13">
        <v>0</v>
      </c>
      <c r="V13">
        <v>0</v>
      </c>
      <c r="W13">
        <v>59</v>
      </c>
      <c r="X13">
        <v>0</v>
      </c>
      <c r="Y13">
        <v>2</v>
      </c>
      <c r="Z13">
        <v>22</v>
      </c>
      <c r="AA13">
        <v>32</v>
      </c>
      <c r="AB13">
        <v>0</v>
      </c>
      <c r="AC13">
        <v>1</v>
      </c>
      <c r="AD13">
        <v>3</v>
      </c>
      <c r="AE13">
        <v>28</v>
      </c>
      <c r="AF13">
        <v>1</v>
      </c>
      <c r="AG13">
        <v>0</v>
      </c>
      <c r="AH13">
        <v>1</v>
      </c>
      <c r="AJ13">
        <f t="shared" si="2"/>
        <v>65</v>
      </c>
      <c r="AK13">
        <f t="shared" si="3"/>
        <v>8</v>
      </c>
      <c r="AL13">
        <f t="shared" si="4"/>
        <v>2</v>
      </c>
      <c r="AM13">
        <f t="shared" si="5"/>
        <v>24</v>
      </c>
      <c r="AO13">
        <f t="shared" si="6"/>
        <v>119</v>
      </c>
      <c r="AP13">
        <f t="shared" si="7"/>
        <v>1</v>
      </c>
      <c r="AQ13">
        <f t="shared" si="8"/>
        <v>3</v>
      </c>
      <c r="AR13">
        <f t="shared" si="9"/>
        <v>26</v>
      </c>
    </row>
    <row r="14" spans="1:44">
      <c r="A14" s="1">
        <v>46110.881435185183</v>
      </c>
      <c r="B14">
        <v>780.53</v>
      </c>
      <c r="C14">
        <v>545</v>
      </c>
      <c r="D14">
        <v>68</v>
      </c>
      <c r="E14">
        <v>2</v>
      </c>
      <c r="F14">
        <v>218</v>
      </c>
      <c r="G14">
        <v>224</v>
      </c>
      <c r="H14">
        <v>14</v>
      </c>
      <c r="I14">
        <v>10</v>
      </c>
      <c r="J14">
        <v>52</v>
      </c>
      <c r="K14">
        <v>63</v>
      </c>
      <c r="L14">
        <v>5</v>
      </c>
      <c r="M14">
        <v>3</v>
      </c>
      <c r="N14">
        <v>26</v>
      </c>
      <c r="O14">
        <v>4</v>
      </c>
      <c r="P14">
        <v>2</v>
      </c>
      <c r="Q14">
        <v>0</v>
      </c>
      <c r="R14">
        <v>0</v>
      </c>
      <c r="S14">
        <v>3</v>
      </c>
      <c r="T14">
        <v>1</v>
      </c>
      <c r="U14">
        <v>0</v>
      </c>
      <c r="V14">
        <v>0</v>
      </c>
      <c r="W14">
        <v>63</v>
      </c>
      <c r="X14">
        <v>0</v>
      </c>
      <c r="Y14">
        <v>2</v>
      </c>
      <c r="Z14">
        <v>24</v>
      </c>
      <c r="AA14">
        <v>35</v>
      </c>
      <c r="AB14">
        <v>0</v>
      </c>
      <c r="AC14">
        <v>1</v>
      </c>
      <c r="AD14">
        <v>3</v>
      </c>
      <c r="AE14">
        <v>28</v>
      </c>
      <c r="AF14">
        <v>1</v>
      </c>
      <c r="AG14">
        <v>0</v>
      </c>
      <c r="AH14">
        <v>1</v>
      </c>
      <c r="AJ14">
        <f t="shared" si="2"/>
        <v>70</v>
      </c>
      <c r="AK14">
        <f t="shared" si="3"/>
        <v>8</v>
      </c>
      <c r="AL14">
        <f t="shared" si="4"/>
        <v>3</v>
      </c>
      <c r="AM14">
        <f t="shared" si="5"/>
        <v>26</v>
      </c>
      <c r="AO14">
        <f t="shared" si="6"/>
        <v>126</v>
      </c>
      <c r="AP14">
        <f t="shared" si="7"/>
        <v>1</v>
      </c>
      <c r="AQ14">
        <f t="shared" si="8"/>
        <v>3</v>
      </c>
      <c r="AR14">
        <f t="shared" si="9"/>
        <v>28</v>
      </c>
    </row>
    <row r="15" spans="1:44">
      <c r="A15" s="1">
        <v>46110.883981481478</v>
      </c>
      <c r="B15">
        <v>840.57</v>
      </c>
      <c r="C15">
        <v>580</v>
      </c>
      <c r="D15">
        <v>73</v>
      </c>
      <c r="E15">
        <v>2</v>
      </c>
      <c r="F15">
        <v>241</v>
      </c>
      <c r="G15">
        <v>242</v>
      </c>
      <c r="H15">
        <v>16</v>
      </c>
      <c r="I15">
        <v>13</v>
      </c>
      <c r="J15">
        <v>58</v>
      </c>
      <c r="K15">
        <v>67</v>
      </c>
      <c r="L15">
        <v>5</v>
      </c>
      <c r="M15">
        <v>3</v>
      </c>
      <c r="N15">
        <v>28</v>
      </c>
      <c r="O15">
        <v>6</v>
      </c>
      <c r="P15">
        <v>2</v>
      </c>
      <c r="Q15">
        <v>0</v>
      </c>
      <c r="R15">
        <v>2</v>
      </c>
      <c r="S15">
        <v>3</v>
      </c>
      <c r="T15">
        <v>2</v>
      </c>
      <c r="U15">
        <v>0</v>
      </c>
      <c r="V15">
        <v>0</v>
      </c>
      <c r="W15">
        <v>71</v>
      </c>
      <c r="X15">
        <v>0</v>
      </c>
      <c r="Y15">
        <v>2</v>
      </c>
      <c r="Z15">
        <v>26</v>
      </c>
      <c r="AA15">
        <v>39</v>
      </c>
      <c r="AB15">
        <v>1</v>
      </c>
      <c r="AC15">
        <v>1</v>
      </c>
      <c r="AD15">
        <v>4</v>
      </c>
      <c r="AE15">
        <v>28</v>
      </c>
      <c r="AF15">
        <v>1</v>
      </c>
      <c r="AG15">
        <v>0</v>
      </c>
      <c r="AH15">
        <v>1</v>
      </c>
      <c r="AJ15">
        <f t="shared" si="2"/>
        <v>76</v>
      </c>
      <c r="AK15">
        <f t="shared" si="3"/>
        <v>9</v>
      </c>
      <c r="AL15">
        <f t="shared" si="4"/>
        <v>3</v>
      </c>
      <c r="AM15">
        <f t="shared" si="5"/>
        <v>30</v>
      </c>
      <c r="AO15">
        <f t="shared" si="6"/>
        <v>138</v>
      </c>
      <c r="AP15">
        <f t="shared" si="7"/>
        <v>2</v>
      </c>
      <c r="AQ15">
        <f t="shared" si="8"/>
        <v>3</v>
      </c>
      <c r="AR15">
        <f t="shared" si="9"/>
        <v>31</v>
      </c>
    </row>
    <row r="16" spans="1:44">
      <c r="A16" s="1">
        <v>46110.886562500003</v>
      </c>
      <c r="B16">
        <v>900.61</v>
      </c>
      <c r="C16">
        <v>632</v>
      </c>
      <c r="D16">
        <v>82</v>
      </c>
      <c r="E16">
        <v>4</v>
      </c>
      <c r="F16">
        <v>252</v>
      </c>
      <c r="G16">
        <v>271</v>
      </c>
      <c r="H16">
        <v>17</v>
      </c>
      <c r="I16">
        <v>13</v>
      </c>
      <c r="J16">
        <v>62</v>
      </c>
      <c r="K16">
        <v>71</v>
      </c>
      <c r="L16">
        <v>5</v>
      </c>
      <c r="M16">
        <v>3</v>
      </c>
      <c r="N16">
        <v>28</v>
      </c>
      <c r="O16">
        <v>7</v>
      </c>
      <c r="P16">
        <v>2</v>
      </c>
      <c r="Q16">
        <v>0</v>
      </c>
      <c r="R16">
        <v>2</v>
      </c>
      <c r="S16">
        <v>3</v>
      </c>
      <c r="T16">
        <v>2</v>
      </c>
      <c r="U16">
        <v>0</v>
      </c>
      <c r="V16">
        <v>0</v>
      </c>
      <c r="W16">
        <v>81</v>
      </c>
      <c r="X16">
        <v>0</v>
      </c>
      <c r="Y16">
        <v>2</v>
      </c>
      <c r="Z16">
        <v>27</v>
      </c>
      <c r="AA16">
        <v>40</v>
      </c>
      <c r="AB16">
        <v>2</v>
      </c>
      <c r="AC16">
        <v>1</v>
      </c>
      <c r="AD16">
        <v>4</v>
      </c>
      <c r="AE16">
        <v>32</v>
      </c>
      <c r="AF16">
        <v>2</v>
      </c>
      <c r="AG16">
        <v>0</v>
      </c>
      <c r="AH16">
        <v>3</v>
      </c>
      <c r="AJ16">
        <f t="shared" si="2"/>
        <v>81</v>
      </c>
      <c r="AK16">
        <f t="shared" si="3"/>
        <v>9</v>
      </c>
      <c r="AL16">
        <f t="shared" si="4"/>
        <v>3</v>
      </c>
      <c r="AM16">
        <f t="shared" si="5"/>
        <v>30</v>
      </c>
      <c r="AO16">
        <f t="shared" si="6"/>
        <v>153</v>
      </c>
      <c r="AP16">
        <f t="shared" si="7"/>
        <v>4</v>
      </c>
      <c r="AQ16">
        <f t="shared" si="8"/>
        <v>3</v>
      </c>
      <c r="AR16">
        <f t="shared" si="9"/>
        <v>34</v>
      </c>
    </row>
    <row r="17" spans="1:44">
      <c r="A17" s="1">
        <v>46110.889062499999</v>
      </c>
      <c r="B17">
        <v>960.65</v>
      </c>
      <c r="C17">
        <v>677</v>
      </c>
      <c r="D17">
        <v>85</v>
      </c>
      <c r="E17">
        <v>4</v>
      </c>
      <c r="F17">
        <v>272</v>
      </c>
      <c r="G17">
        <v>287</v>
      </c>
      <c r="H17">
        <v>17</v>
      </c>
      <c r="I17">
        <v>16</v>
      </c>
      <c r="J17">
        <v>64</v>
      </c>
      <c r="K17">
        <v>73</v>
      </c>
      <c r="L17">
        <v>5</v>
      </c>
      <c r="M17">
        <v>3</v>
      </c>
      <c r="N17">
        <v>30</v>
      </c>
      <c r="O17">
        <v>7</v>
      </c>
      <c r="P17">
        <v>2</v>
      </c>
      <c r="Q17">
        <v>0</v>
      </c>
      <c r="R17">
        <v>2</v>
      </c>
      <c r="S17">
        <v>3</v>
      </c>
      <c r="T17">
        <v>2</v>
      </c>
      <c r="U17">
        <v>0</v>
      </c>
      <c r="V17">
        <v>0</v>
      </c>
      <c r="W17">
        <v>84</v>
      </c>
      <c r="X17">
        <v>0</v>
      </c>
      <c r="Y17">
        <v>2</v>
      </c>
      <c r="Z17">
        <v>28</v>
      </c>
      <c r="AA17">
        <v>45</v>
      </c>
      <c r="AB17">
        <v>2</v>
      </c>
      <c r="AC17">
        <v>1</v>
      </c>
      <c r="AD17">
        <v>4</v>
      </c>
      <c r="AE17">
        <v>32</v>
      </c>
      <c r="AF17">
        <v>2</v>
      </c>
      <c r="AG17">
        <v>0</v>
      </c>
      <c r="AH17">
        <v>3</v>
      </c>
      <c r="AJ17">
        <f t="shared" si="2"/>
        <v>83</v>
      </c>
      <c r="AK17">
        <f t="shared" si="3"/>
        <v>9</v>
      </c>
      <c r="AL17">
        <f t="shared" si="4"/>
        <v>3</v>
      </c>
      <c r="AM17">
        <f t="shared" si="5"/>
        <v>32</v>
      </c>
      <c r="AO17">
        <f t="shared" si="6"/>
        <v>161</v>
      </c>
      <c r="AP17">
        <f t="shared" si="7"/>
        <v>4</v>
      </c>
      <c r="AQ17">
        <f t="shared" si="8"/>
        <v>3</v>
      </c>
      <c r="AR17">
        <f t="shared" si="9"/>
        <v>35</v>
      </c>
    </row>
    <row r="18" spans="1:44">
      <c r="A18" s="1">
        <v>46110.891527777778</v>
      </c>
      <c r="B18">
        <v>1020.69</v>
      </c>
      <c r="C18">
        <v>726</v>
      </c>
      <c r="D18">
        <v>91</v>
      </c>
      <c r="E18">
        <v>4</v>
      </c>
      <c r="F18">
        <v>287</v>
      </c>
      <c r="G18">
        <v>300</v>
      </c>
      <c r="H18">
        <v>19</v>
      </c>
      <c r="I18">
        <v>17</v>
      </c>
      <c r="J18">
        <v>70</v>
      </c>
      <c r="K18">
        <v>76</v>
      </c>
      <c r="L18">
        <v>5</v>
      </c>
      <c r="M18">
        <v>3</v>
      </c>
      <c r="N18">
        <v>30</v>
      </c>
      <c r="O18">
        <v>7</v>
      </c>
      <c r="P18">
        <v>2</v>
      </c>
      <c r="Q18">
        <v>0</v>
      </c>
      <c r="R18">
        <v>2</v>
      </c>
      <c r="S18">
        <v>3</v>
      </c>
      <c r="T18">
        <v>2</v>
      </c>
      <c r="U18">
        <v>0</v>
      </c>
      <c r="V18">
        <v>0</v>
      </c>
      <c r="W18">
        <v>86</v>
      </c>
      <c r="X18">
        <v>0</v>
      </c>
      <c r="Y18">
        <v>2</v>
      </c>
      <c r="Z18">
        <v>28</v>
      </c>
      <c r="AA18">
        <v>47</v>
      </c>
      <c r="AB18">
        <v>2</v>
      </c>
      <c r="AC18">
        <v>1</v>
      </c>
      <c r="AD18">
        <v>5</v>
      </c>
      <c r="AE18">
        <v>32</v>
      </c>
      <c r="AF18">
        <v>2</v>
      </c>
      <c r="AG18">
        <v>0</v>
      </c>
      <c r="AH18">
        <v>3</v>
      </c>
      <c r="AJ18">
        <f t="shared" si="2"/>
        <v>86</v>
      </c>
      <c r="AK18">
        <f t="shared" si="3"/>
        <v>9</v>
      </c>
      <c r="AL18">
        <f t="shared" si="4"/>
        <v>3</v>
      </c>
      <c r="AM18">
        <f t="shared" si="5"/>
        <v>32</v>
      </c>
      <c r="AO18">
        <f t="shared" si="6"/>
        <v>165</v>
      </c>
      <c r="AP18">
        <f t="shared" si="7"/>
        <v>4</v>
      </c>
      <c r="AQ18">
        <f t="shared" si="8"/>
        <v>3</v>
      </c>
      <c r="AR18">
        <f t="shared" si="9"/>
        <v>36</v>
      </c>
    </row>
    <row r="19" spans="1:44">
      <c r="A19" s="1">
        <v>46110.893946759257</v>
      </c>
      <c r="B19">
        <v>1080.73</v>
      </c>
      <c r="C19">
        <v>766</v>
      </c>
      <c r="D19">
        <v>97</v>
      </c>
      <c r="E19">
        <v>6</v>
      </c>
      <c r="F19">
        <v>301</v>
      </c>
      <c r="G19">
        <v>327</v>
      </c>
      <c r="H19">
        <v>20</v>
      </c>
      <c r="I19">
        <v>17</v>
      </c>
      <c r="J19">
        <v>75</v>
      </c>
      <c r="K19">
        <v>82</v>
      </c>
      <c r="L19">
        <v>5</v>
      </c>
      <c r="M19">
        <v>3</v>
      </c>
      <c r="N19">
        <v>30</v>
      </c>
      <c r="O19">
        <v>7</v>
      </c>
      <c r="P19">
        <v>4</v>
      </c>
      <c r="Q19">
        <v>0</v>
      </c>
      <c r="R19">
        <v>2</v>
      </c>
      <c r="S19">
        <v>4</v>
      </c>
      <c r="T19">
        <v>2</v>
      </c>
      <c r="U19">
        <v>0</v>
      </c>
      <c r="V19">
        <v>0</v>
      </c>
      <c r="W19">
        <v>95</v>
      </c>
      <c r="X19">
        <v>0</v>
      </c>
      <c r="Y19">
        <v>2</v>
      </c>
      <c r="Z19">
        <v>29</v>
      </c>
      <c r="AA19">
        <v>50</v>
      </c>
      <c r="AB19">
        <v>2</v>
      </c>
      <c r="AC19">
        <v>1</v>
      </c>
      <c r="AD19">
        <v>7</v>
      </c>
      <c r="AE19">
        <v>32</v>
      </c>
      <c r="AF19">
        <v>2</v>
      </c>
      <c r="AG19">
        <v>0</v>
      </c>
      <c r="AH19">
        <v>4</v>
      </c>
      <c r="AJ19">
        <f t="shared" si="2"/>
        <v>93</v>
      </c>
      <c r="AK19">
        <f t="shared" si="3"/>
        <v>11</v>
      </c>
      <c r="AL19">
        <f t="shared" si="4"/>
        <v>3</v>
      </c>
      <c r="AM19">
        <f t="shared" si="5"/>
        <v>32</v>
      </c>
      <c r="AO19">
        <f t="shared" si="6"/>
        <v>177</v>
      </c>
      <c r="AP19">
        <f t="shared" si="7"/>
        <v>4</v>
      </c>
      <c r="AQ19">
        <f t="shared" si="8"/>
        <v>3</v>
      </c>
      <c r="AR19">
        <f t="shared" si="9"/>
        <v>40</v>
      </c>
    </row>
    <row r="20" spans="1:44">
      <c r="A20" s="1">
        <v>46110.896331018521</v>
      </c>
      <c r="B20">
        <v>1140.77</v>
      </c>
      <c r="C20">
        <v>791</v>
      </c>
      <c r="D20">
        <v>107</v>
      </c>
      <c r="E20">
        <v>6</v>
      </c>
      <c r="F20">
        <v>336</v>
      </c>
      <c r="G20">
        <v>339</v>
      </c>
      <c r="H20">
        <v>21</v>
      </c>
      <c r="I20">
        <v>18</v>
      </c>
      <c r="J20">
        <v>78</v>
      </c>
      <c r="K20">
        <v>84</v>
      </c>
      <c r="L20">
        <v>5</v>
      </c>
      <c r="M20">
        <v>3</v>
      </c>
      <c r="N20">
        <v>33</v>
      </c>
      <c r="O20">
        <v>7</v>
      </c>
      <c r="P20">
        <v>4</v>
      </c>
      <c r="Q20">
        <v>0</v>
      </c>
      <c r="R20">
        <v>2</v>
      </c>
      <c r="S20">
        <v>4</v>
      </c>
      <c r="T20">
        <v>2</v>
      </c>
      <c r="U20">
        <v>0</v>
      </c>
      <c r="V20">
        <v>0</v>
      </c>
      <c r="W20">
        <v>99</v>
      </c>
      <c r="X20">
        <v>0</v>
      </c>
      <c r="Y20">
        <v>2</v>
      </c>
      <c r="Z20">
        <v>30</v>
      </c>
      <c r="AA20">
        <v>51</v>
      </c>
      <c r="AB20">
        <v>2</v>
      </c>
      <c r="AC20">
        <v>1</v>
      </c>
      <c r="AD20">
        <v>7</v>
      </c>
      <c r="AE20">
        <v>32</v>
      </c>
      <c r="AF20">
        <v>3</v>
      </c>
      <c r="AG20">
        <v>0</v>
      </c>
      <c r="AH20">
        <v>4</v>
      </c>
      <c r="AJ20">
        <f t="shared" si="2"/>
        <v>95</v>
      </c>
      <c r="AK20">
        <f t="shared" si="3"/>
        <v>11</v>
      </c>
      <c r="AL20">
        <f t="shared" si="4"/>
        <v>3</v>
      </c>
      <c r="AM20">
        <f t="shared" si="5"/>
        <v>35</v>
      </c>
      <c r="AO20">
        <f t="shared" si="6"/>
        <v>182</v>
      </c>
      <c r="AP20">
        <f t="shared" si="7"/>
        <v>5</v>
      </c>
      <c r="AQ20">
        <f t="shared" si="8"/>
        <v>3</v>
      </c>
      <c r="AR20">
        <f t="shared" si="9"/>
        <v>41</v>
      </c>
    </row>
    <row r="21" spans="1:44">
      <c r="A21" s="1">
        <v>46110.898715277777</v>
      </c>
      <c r="B21">
        <v>1200.81</v>
      </c>
      <c r="C21">
        <v>828</v>
      </c>
      <c r="D21">
        <v>113</v>
      </c>
      <c r="E21">
        <v>8</v>
      </c>
      <c r="F21">
        <v>359</v>
      </c>
      <c r="G21">
        <v>353</v>
      </c>
      <c r="H21">
        <v>22</v>
      </c>
      <c r="I21">
        <v>19</v>
      </c>
      <c r="J21">
        <v>88</v>
      </c>
      <c r="K21">
        <v>89</v>
      </c>
      <c r="L21">
        <v>5</v>
      </c>
      <c r="M21">
        <v>3</v>
      </c>
      <c r="N21">
        <v>35</v>
      </c>
      <c r="O21">
        <v>7</v>
      </c>
      <c r="P21">
        <v>4</v>
      </c>
      <c r="Q21">
        <v>0</v>
      </c>
      <c r="R21">
        <v>2</v>
      </c>
      <c r="S21">
        <v>4</v>
      </c>
      <c r="T21">
        <v>2</v>
      </c>
      <c r="U21">
        <v>0</v>
      </c>
      <c r="V21">
        <v>0</v>
      </c>
      <c r="W21">
        <v>103</v>
      </c>
      <c r="X21">
        <v>0</v>
      </c>
      <c r="Y21">
        <v>2</v>
      </c>
      <c r="Z21">
        <v>31</v>
      </c>
      <c r="AA21">
        <v>54</v>
      </c>
      <c r="AB21">
        <v>2</v>
      </c>
      <c r="AC21">
        <v>1</v>
      </c>
      <c r="AD21">
        <v>10</v>
      </c>
      <c r="AE21">
        <v>33</v>
      </c>
      <c r="AF21">
        <v>3</v>
      </c>
      <c r="AG21">
        <v>0</v>
      </c>
      <c r="AH21">
        <v>4</v>
      </c>
      <c r="AJ21">
        <f t="shared" si="2"/>
        <v>100</v>
      </c>
      <c r="AK21">
        <f t="shared" si="3"/>
        <v>11</v>
      </c>
      <c r="AL21">
        <f t="shared" si="4"/>
        <v>3</v>
      </c>
      <c r="AM21">
        <f t="shared" si="5"/>
        <v>37</v>
      </c>
      <c r="AO21">
        <f t="shared" si="6"/>
        <v>190</v>
      </c>
      <c r="AP21">
        <f t="shared" si="7"/>
        <v>5</v>
      </c>
      <c r="AQ21">
        <f t="shared" si="8"/>
        <v>3</v>
      </c>
      <c r="AR21">
        <f t="shared" si="9"/>
        <v>45</v>
      </c>
    </row>
    <row r="22" spans="1:44">
      <c r="A22" s="1">
        <v>46110.901099537034</v>
      </c>
      <c r="B22">
        <v>1260.8499999999999</v>
      </c>
      <c r="C22">
        <v>881</v>
      </c>
      <c r="D22">
        <v>118</v>
      </c>
      <c r="E22">
        <v>8</v>
      </c>
      <c r="F22">
        <v>376</v>
      </c>
      <c r="G22">
        <v>372</v>
      </c>
      <c r="H22">
        <v>22</v>
      </c>
      <c r="I22">
        <v>19</v>
      </c>
      <c r="J22">
        <v>92</v>
      </c>
      <c r="K22">
        <v>92</v>
      </c>
      <c r="L22">
        <v>5</v>
      </c>
      <c r="M22">
        <v>3</v>
      </c>
      <c r="N22">
        <v>36</v>
      </c>
      <c r="O22">
        <v>7</v>
      </c>
      <c r="P22">
        <v>4</v>
      </c>
      <c r="Q22">
        <v>0</v>
      </c>
      <c r="R22">
        <v>2</v>
      </c>
      <c r="S22">
        <v>4</v>
      </c>
      <c r="T22">
        <v>2</v>
      </c>
      <c r="U22">
        <v>0</v>
      </c>
      <c r="V22">
        <v>0</v>
      </c>
      <c r="W22">
        <v>108</v>
      </c>
      <c r="X22">
        <v>0</v>
      </c>
      <c r="Y22">
        <v>2</v>
      </c>
      <c r="Z22">
        <v>32</v>
      </c>
      <c r="AA22">
        <v>58</v>
      </c>
      <c r="AB22">
        <v>2</v>
      </c>
      <c r="AC22">
        <v>1</v>
      </c>
      <c r="AD22">
        <v>11</v>
      </c>
      <c r="AE22">
        <v>36</v>
      </c>
      <c r="AF22">
        <v>3</v>
      </c>
      <c r="AG22">
        <v>0</v>
      </c>
      <c r="AH22">
        <v>4</v>
      </c>
      <c r="AJ22">
        <f t="shared" si="2"/>
        <v>103</v>
      </c>
      <c r="AK22">
        <f t="shared" si="3"/>
        <v>11</v>
      </c>
      <c r="AL22">
        <f t="shared" si="4"/>
        <v>3</v>
      </c>
      <c r="AM22">
        <f t="shared" si="5"/>
        <v>38</v>
      </c>
      <c r="AO22">
        <f t="shared" si="6"/>
        <v>202</v>
      </c>
      <c r="AP22">
        <f t="shared" si="7"/>
        <v>5</v>
      </c>
      <c r="AQ22">
        <f t="shared" si="8"/>
        <v>3</v>
      </c>
      <c r="AR22">
        <f t="shared" si="9"/>
        <v>47</v>
      </c>
    </row>
    <row r="23" spans="1:44">
      <c r="A23" s="1">
        <v>46110.903483796297</v>
      </c>
      <c r="B23">
        <v>1320.9</v>
      </c>
      <c r="C23">
        <v>923</v>
      </c>
      <c r="D23">
        <v>128</v>
      </c>
      <c r="E23">
        <v>8</v>
      </c>
      <c r="F23">
        <v>396</v>
      </c>
      <c r="G23">
        <v>392</v>
      </c>
      <c r="H23">
        <v>23</v>
      </c>
      <c r="I23">
        <v>20</v>
      </c>
      <c r="J23">
        <v>96</v>
      </c>
      <c r="K23">
        <v>98</v>
      </c>
      <c r="L23">
        <v>5</v>
      </c>
      <c r="M23">
        <v>3</v>
      </c>
      <c r="N23">
        <v>36</v>
      </c>
      <c r="O23">
        <v>7</v>
      </c>
      <c r="P23">
        <v>4</v>
      </c>
      <c r="Q23">
        <v>0</v>
      </c>
      <c r="R23">
        <v>2</v>
      </c>
      <c r="S23">
        <v>4</v>
      </c>
      <c r="T23">
        <v>2</v>
      </c>
      <c r="U23">
        <v>0</v>
      </c>
      <c r="V23">
        <v>0</v>
      </c>
      <c r="W23">
        <v>114</v>
      </c>
      <c r="X23">
        <v>0</v>
      </c>
      <c r="Y23">
        <v>2</v>
      </c>
      <c r="Z23">
        <v>34</v>
      </c>
      <c r="AA23">
        <v>62</v>
      </c>
      <c r="AB23">
        <v>2</v>
      </c>
      <c r="AC23">
        <v>1</v>
      </c>
      <c r="AD23">
        <v>11</v>
      </c>
      <c r="AE23">
        <v>37</v>
      </c>
      <c r="AF23">
        <v>3</v>
      </c>
      <c r="AG23">
        <v>0</v>
      </c>
      <c r="AH23">
        <v>4</v>
      </c>
      <c r="AJ23">
        <f t="shared" si="2"/>
        <v>109</v>
      </c>
      <c r="AK23">
        <f t="shared" si="3"/>
        <v>11</v>
      </c>
      <c r="AL23">
        <f t="shared" si="4"/>
        <v>3</v>
      </c>
      <c r="AM23">
        <f t="shared" si="5"/>
        <v>38</v>
      </c>
      <c r="AO23">
        <f t="shared" si="6"/>
        <v>213</v>
      </c>
      <c r="AP23">
        <f t="shared" si="7"/>
        <v>5</v>
      </c>
      <c r="AQ23">
        <f t="shared" si="8"/>
        <v>3</v>
      </c>
      <c r="AR23">
        <f t="shared" si="9"/>
        <v>49</v>
      </c>
    </row>
    <row r="24" spans="1:44">
      <c r="A24" s="1">
        <v>46110.905844907407</v>
      </c>
      <c r="B24">
        <v>1380.94</v>
      </c>
      <c r="C24">
        <v>975</v>
      </c>
      <c r="D24">
        <v>135</v>
      </c>
      <c r="E24">
        <v>8</v>
      </c>
      <c r="F24">
        <v>409</v>
      </c>
      <c r="G24">
        <v>412</v>
      </c>
      <c r="H24">
        <v>23</v>
      </c>
      <c r="I24">
        <v>21</v>
      </c>
      <c r="J24">
        <v>104</v>
      </c>
      <c r="K24">
        <v>104</v>
      </c>
      <c r="L24">
        <v>5</v>
      </c>
      <c r="M24">
        <v>3</v>
      </c>
      <c r="N24">
        <v>37</v>
      </c>
      <c r="O24">
        <v>7</v>
      </c>
      <c r="P24">
        <v>4</v>
      </c>
      <c r="Q24">
        <v>0</v>
      </c>
      <c r="R24">
        <v>2</v>
      </c>
      <c r="S24">
        <v>4</v>
      </c>
      <c r="T24">
        <v>2</v>
      </c>
      <c r="U24">
        <v>0</v>
      </c>
      <c r="V24">
        <v>0</v>
      </c>
      <c r="W24">
        <v>123</v>
      </c>
      <c r="X24">
        <v>0</v>
      </c>
      <c r="Y24">
        <v>2</v>
      </c>
      <c r="Z24">
        <v>38</v>
      </c>
      <c r="AA24">
        <v>63</v>
      </c>
      <c r="AB24">
        <v>2</v>
      </c>
      <c r="AC24">
        <v>1</v>
      </c>
      <c r="AD24">
        <v>11</v>
      </c>
      <c r="AE24">
        <v>38</v>
      </c>
      <c r="AF24">
        <v>3</v>
      </c>
      <c r="AG24">
        <v>0</v>
      </c>
      <c r="AH24">
        <v>4</v>
      </c>
      <c r="AJ24">
        <f t="shared" si="2"/>
        <v>115</v>
      </c>
      <c r="AK24">
        <f t="shared" si="3"/>
        <v>11</v>
      </c>
      <c r="AL24">
        <f t="shared" si="4"/>
        <v>3</v>
      </c>
      <c r="AM24">
        <f t="shared" si="5"/>
        <v>39</v>
      </c>
      <c r="AO24">
        <f t="shared" si="6"/>
        <v>224</v>
      </c>
      <c r="AP24">
        <f t="shared" si="7"/>
        <v>5</v>
      </c>
      <c r="AQ24">
        <f t="shared" si="8"/>
        <v>3</v>
      </c>
      <c r="AR24">
        <f t="shared" si="9"/>
        <v>53</v>
      </c>
    </row>
    <row r="25" spans="1:44">
      <c r="A25" s="1">
        <v>46110.908194444448</v>
      </c>
      <c r="B25">
        <v>1440.98</v>
      </c>
      <c r="C25">
        <v>1043</v>
      </c>
      <c r="D25">
        <v>139</v>
      </c>
      <c r="E25">
        <v>8</v>
      </c>
      <c r="F25">
        <v>426</v>
      </c>
      <c r="G25">
        <v>428</v>
      </c>
      <c r="H25">
        <v>23</v>
      </c>
      <c r="I25">
        <v>23</v>
      </c>
      <c r="J25">
        <v>104</v>
      </c>
      <c r="K25">
        <v>106</v>
      </c>
      <c r="L25">
        <v>5</v>
      </c>
      <c r="M25">
        <v>3</v>
      </c>
      <c r="N25">
        <v>37</v>
      </c>
      <c r="O25">
        <v>7</v>
      </c>
      <c r="P25">
        <v>4</v>
      </c>
      <c r="Q25">
        <v>0</v>
      </c>
      <c r="R25">
        <v>2</v>
      </c>
      <c r="S25">
        <v>4</v>
      </c>
      <c r="T25">
        <v>2</v>
      </c>
      <c r="U25">
        <v>0</v>
      </c>
      <c r="V25">
        <v>0</v>
      </c>
      <c r="W25">
        <v>130</v>
      </c>
      <c r="X25">
        <v>0</v>
      </c>
      <c r="Y25">
        <v>2</v>
      </c>
      <c r="Z25">
        <v>39</v>
      </c>
      <c r="AA25">
        <v>64</v>
      </c>
      <c r="AB25">
        <v>3</v>
      </c>
      <c r="AC25">
        <v>1</v>
      </c>
      <c r="AD25">
        <v>11</v>
      </c>
      <c r="AE25">
        <v>38</v>
      </c>
      <c r="AF25">
        <v>3</v>
      </c>
      <c r="AG25">
        <v>0</v>
      </c>
      <c r="AH25">
        <v>4</v>
      </c>
      <c r="AJ25">
        <f t="shared" si="2"/>
        <v>117</v>
      </c>
      <c r="AK25">
        <f t="shared" si="3"/>
        <v>11</v>
      </c>
      <c r="AL25">
        <f t="shared" si="4"/>
        <v>3</v>
      </c>
      <c r="AM25">
        <f t="shared" si="5"/>
        <v>39</v>
      </c>
      <c r="AO25">
        <f t="shared" si="6"/>
        <v>232</v>
      </c>
      <c r="AP25">
        <f t="shared" si="7"/>
        <v>6</v>
      </c>
      <c r="AQ25">
        <f t="shared" si="8"/>
        <v>3</v>
      </c>
      <c r="AR25">
        <f t="shared" si="9"/>
        <v>54</v>
      </c>
    </row>
    <row r="26" spans="1:44">
      <c r="A26" s="1">
        <v>46110.910532407404</v>
      </c>
      <c r="B26">
        <v>1501.02</v>
      </c>
      <c r="C26">
        <v>1080</v>
      </c>
      <c r="D26">
        <v>145</v>
      </c>
      <c r="E26">
        <v>8</v>
      </c>
      <c r="F26">
        <v>444</v>
      </c>
      <c r="G26">
        <v>448</v>
      </c>
      <c r="H26">
        <v>26</v>
      </c>
      <c r="I26">
        <v>24</v>
      </c>
      <c r="J26">
        <v>106</v>
      </c>
      <c r="K26">
        <v>114</v>
      </c>
      <c r="L26">
        <v>5</v>
      </c>
      <c r="M26">
        <v>3</v>
      </c>
      <c r="N26">
        <v>37</v>
      </c>
      <c r="O26">
        <v>8</v>
      </c>
      <c r="P26">
        <v>4</v>
      </c>
      <c r="Q26">
        <v>0</v>
      </c>
      <c r="R26">
        <v>2</v>
      </c>
      <c r="S26">
        <v>4</v>
      </c>
      <c r="T26">
        <v>2</v>
      </c>
      <c r="U26">
        <v>0</v>
      </c>
      <c r="V26">
        <v>0</v>
      </c>
      <c r="W26">
        <v>141</v>
      </c>
      <c r="X26">
        <v>0</v>
      </c>
      <c r="Y26">
        <v>2</v>
      </c>
      <c r="Z26">
        <v>39</v>
      </c>
      <c r="AA26">
        <v>65</v>
      </c>
      <c r="AB26">
        <v>3</v>
      </c>
      <c r="AC26">
        <v>1</v>
      </c>
      <c r="AD26">
        <v>11</v>
      </c>
      <c r="AE26">
        <v>38</v>
      </c>
      <c r="AF26">
        <v>3</v>
      </c>
      <c r="AG26">
        <v>0</v>
      </c>
      <c r="AH26">
        <v>4</v>
      </c>
      <c r="AJ26">
        <f t="shared" si="2"/>
        <v>126</v>
      </c>
      <c r="AK26">
        <f t="shared" si="3"/>
        <v>11</v>
      </c>
      <c r="AL26">
        <f t="shared" si="4"/>
        <v>3</v>
      </c>
      <c r="AM26">
        <f t="shared" si="5"/>
        <v>39</v>
      </c>
      <c r="AO26">
        <f t="shared" si="6"/>
        <v>244</v>
      </c>
      <c r="AP26">
        <f t="shared" si="7"/>
        <v>6</v>
      </c>
      <c r="AQ26">
        <f t="shared" si="8"/>
        <v>3</v>
      </c>
      <c r="AR26">
        <f t="shared" si="9"/>
        <v>54</v>
      </c>
    </row>
    <row r="27" spans="1:44">
      <c r="A27" s="1">
        <v>46110.912881944445</v>
      </c>
      <c r="B27">
        <v>1561.06</v>
      </c>
      <c r="C27">
        <v>1123</v>
      </c>
      <c r="D27">
        <v>150</v>
      </c>
      <c r="E27">
        <v>8</v>
      </c>
      <c r="F27">
        <v>468</v>
      </c>
      <c r="G27">
        <v>467</v>
      </c>
      <c r="H27">
        <v>26</v>
      </c>
      <c r="I27">
        <v>24</v>
      </c>
      <c r="J27">
        <v>111</v>
      </c>
      <c r="K27">
        <v>117</v>
      </c>
      <c r="L27">
        <v>5</v>
      </c>
      <c r="M27">
        <v>3</v>
      </c>
      <c r="N27">
        <v>38</v>
      </c>
      <c r="O27">
        <v>8</v>
      </c>
      <c r="P27">
        <v>4</v>
      </c>
      <c r="Q27">
        <v>0</v>
      </c>
      <c r="R27">
        <v>3</v>
      </c>
      <c r="S27">
        <v>4</v>
      </c>
      <c r="T27">
        <v>2</v>
      </c>
      <c r="U27">
        <v>0</v>
      </c>
      <c r="V27">
        <v>0</v>
      </c>
      <c r="W27">
        <v>146</v>
      </c>
      <c r="X27">
        <v>0</v>
      </c>
      <c r="Y27">
        <v>2</v>
      </c>
      <c r="Z27">
        <v>42</v>
      </c>
      <c r="AA27">
        <v>69</v>
      </c>
      <c r="AB27">
        <v>3</v>
      </c>
      <c r="AC27">
        <v>1</v>
      </c>
      <c r="AD27">
        <v>11</v>
      </c>
      <c r="AE27">
        <v>38</v>
      </c>
      <c r="AF27">
        <v>3</v>
      </c>
      <c r="AG27">
        <v>0</v>
      </c>
      <c r="AH27">
        <v>4</v>
      </c>
      <c r="AJ27">
        <f t="shared" si="2"/>
        <v>129</v>
      </c>
      <c r="AK27">
        <f t="shared" si="3"/>
        <v>11</v>
      </c>
      <c r="AL27">
        <f t="shared" si="4"/>
        <v>3</v>
      </c>
      <c r="AM27">
        <f t="shared" si="5"/>
        <v>41</v>
      </c>
      <c r="AO27">
        <f t="shared" si="6"/>
        <v>253</v>
      </c>
      <c r="AP27">
        <f t="shared" si="7"/>
        <v>6</v>
      </c>
      <c r="AQ27">
        <f t="shared" si="8"/>
        <v>3</v>
      </c>
      <c r="AR27">
        <f t="shared" si="9"/>
        <v>57</v>
      </c>
    </row>
    <row r="28" spans="1:44">
      <c r="A28" s="1">
        <v>46110.915231481478</v>
      </c>
      <c r="B28">
        <v>1621.1</v>
      </c>
      <c r="C28">
        <v>1168</v>
      </c>
      <c r="D28">
        <v>157</v>
      </c>
      <c r="E28">
        <v>9</v>
      </c>
      <c r="F28">
        <v>478</v>
      </c>
      <c r="G28">
        <v>491</v>
      </c>
      <c r="H28">
        <v>29</v>
      </c>
      <c r="I28">
        <v>24</v>
      </c>
      <c r="J28">
        <v>113</v>
      </c>
      <c r="K28">
        <v>128</v>
      </c>
      <c r="L28">
        <v>5</v>
      </c>
      <c r="M28">
        <v>3</v>
      </c>
      <c r="N28">
        <v>43</v>
      </c>
      <c r="O28">
        <v>8</v>
      </c>
      <c r="P28">
        <v>4</v>
      </c>
      <c r="Q28">
        <v>0</v>
      </c>
      <c r="R28">
        <v>3</v>
      </c>
      <c r="S28">
        <v>4</v>
      </c>
      <c r="T28">
        <v>2</v>
      </c>
      <c r="U28">
        <v>0</v>
      </c>
      <c r="V28">
        <v>0</v>
      </c>
      <c r="W28">
        <v>150</v>
      </c>
      <c r="X28">
        <v>0</v>
      </c>
      <c r="Y28">
        <v>2</v>
      </c>
      <c r="Z28">
        <v>42</v>
      </c>
      <c r="AA28">
        <v>73</v>
      </c>
      <c r="AB28">
        <v>3</v>
      </c>
      <c r="AC28">
        <v>1</v>
      </c>
      <c r="AD28">
        <v>12</v>
      </c>
      <c r="AE28">
        <v>41</v>
      </c>
      <c r="AF28">
        <v>3</v>
      </c>
      <c r="AG28">
        <v>0</v>
      </c>
      <c r="AH28">
        <v>5</v>
      </c>
      <c r="AJ28">
        <f t="shared" si="2"/>
        <v>140</v>
      </c>
      <c r="AK28">
        <f t="shared" si="3"/>
        <v>11</v>
      </c>
      <c r="AL28">
        <f t="shared" si="4"/>
        <v>3</v>
      </c>
      <c r="AM28">
        <f t="shared" si="5"/>
        <v>46</v>
      </c>
      <c r="AO28">
        <f t="shared" si="6"/>
        <v>264</v>
      </c>
      <c r="AP28">
        <f t="shared" si="7"/>
        <v>6</v>
      </c>
      <c r="AQ28">
        <f t="shared" si="8"/>
        <v>3</v>
      </c>
      <c r="AR28">
        <f t="shared" si="9"/>
        <v>59</v>
      </c>
    </row>
    <row r="29" spans="1:44">
      <c r="A29" s="1">
        <v>46110.917592592596</v>
      </c>
      <c r="B29">
        <v>1681.14</v>
      </c>
      <c r="C29">
        <v>1209</v>
      </c>
      <c r="D29">
        <v>160</v>
      </c>
      <c r="E29">
        <v>9</v>
      </c>
      <c r="F29">
        <v>491</v>
      </c>
      <c r="G29">
        <v>507</v>
      </c>
      <c r="H29">
        <v>29</v>
      </c>
      <c r="I29">
        <v>26</v>
      </c>
      <c r="J29">
        <v>119</v>
      </c>
      <c r="K29">
        <v>133</v>
      </c>
      <c r="L29">
        <v>5</v>
      </c>
      <c r="M29">
        <v>3</v>
      </c>
      <c r="N29">
        <v>45</v>
      </c>
      <c r="O29">
        <v>8</v>
      </c>
      <c r="P29">
        <v>4</v>
      </c>
      <c r="Q29">
        <v>0</v>
      </c>
      <c r="R29">
        <v>3</v>
      </c>
      <c r="S29">
        <v>4</v>
      </c>
      <c r="T29">
        <v>2</v>
      </c>
      <c r="U29">
        <v>0</v>
      </c>
      <c r="V29">
        <v>0</v>
      </c>
      <c r="W29">
        <v>151</v>
      </c>
      <c r="X29">
        <v>0</v>
      </c>
      <c r="Y29">
        <v>3</v>
      </c>
      <c r="Z29">
        <v>43</v>
      </c>
      <c r="AA29">
        <v>74</v>
      </c>
      <c r="AB29">
        <v>3</v>
      </c>
      <c r="AC29">
        <v>1</v>
      </c>
      <c r="AD29">
        <v>14</v>
      </c>
      <c r="AE29">
        <v>43</v>
      </c>
      <c r="AF29">
        <v>3</v>
      </c>
      <c r="AG29">
        <v>0</v>
      </c>
      <c r="AH29">
        <v>5</v>
      </c>
      <c r="AJ29">
        <f t="shared" si="2"/>
        <v>145</v>
      </c>
      <c r="AK29">
        <f t="shared" si="3"/>
        <v>11</v>
      </c>
      <c r="AL29">
        <f t="shared" si="4"/>
        <v>3</v>
      </c>
      <c r="AM29">
        <f t="shared" si="5"/>
        <v>48</v>
      </c>
      <c r="AO29">
        <f t="shared" si="6"/>
        <v>268</v>
      </c>
      <c r="AP29">
        <f t="shared" si="7"/>
        <v>6</v>
      </c>
      <c r="AQ29">
        <f t="shared" si="8"/>
        <v>4</v>
      </c>
      <c r="AR29">
        <f t="shared" si="9"/>
        <v>62</v>
      </c>
    </row>
    <row r="30" spans="1:44">
      <c r="A30" s="1">
        <v>46110.919953703706</v>
      </c>
      <c r="B30">
        <v>1741.18</v>
      </c>
      <c r="C30">
        <v>1244</v>
      </c>
      <c r="D30">
        <v>167</v>
      </c>
      <c r="E30">
        <v>9</v>
      </c>
      <c r="F30">
        <v>500</v>
      </c>
      <c r="G30">
        <v>528</v>
      </c>
      <c r="H30">
        <v>34</v>
      </c>
      <c r="I30">
        <v>26</v>
      </c>
      <c r="J30">
        <v>123</v>
      </c>
      <c r="K30">
        <v>138</v>
      </c>
      <c r="L30">
        <v>5</v>
      </c>
      <c r="M30">
        <v>3</v>
      </c>
      <c r="N30">
        <v>49</v>
      </c>
      <c r="O30">
        <v>8</v>
      </c>
      <c r="P30">
        <v>4</v>
      </c>
      <c r="Q30">
        <v>0</v>
      </c>
      <c r="R30">
        <v>3</v>
      </c>
      <c r="S30">
        <v>4</v>
      </c>
      <c r="T30">
        <v>2</v>
      </c>
      <c r="U30">
        <v>0</v>
      </c>
      <c r="V30">
        <v>0</v>
      </c>
      <c r="W30">
        <v>159</v>
      </c>
      <c r="X30">
        <v>0</v>
      </c>
      <c r="Y30">
        <v>3</v>
      </c>
      <c r="Z30">
        <v>44</v>
      </c>
      <c r="AA30">
        <v>78</v>
      </c>
      <c r="AB30">
        <v>3</v>
      </c>
      <c r="AC30">
        <v>1</v>
      </c>
      <c r="AD30">
        <v>14</v>
      </c>
      <c r="AE30">
        <v>46</v>
      </c>
      <c r="AF30">
        <v>4</v>
      </c>
      <c r="AG30">
        <v>0</v>
      </c>
      <c r="AH30">
        <v>5</v>
      </c>
      <c r="AJ30">
        <f t="shared" si="2"/>
        <v>150</v>
      </c>
      <c r="AK30">
        <f t="shared" si="3"/>
        <v>11</v>
      </c>
      <c r="AL30">
        <f t="shared" si="4"/>
        <v>3</v>
      </c>
      <c r="AM30">
        <f t="shared" si="5"/>
        <v>52</v>
      </c>
      <c r="AO30">
        <f t="shared" si="6"/>
        <v>283</v>
      </c>
      <c r="AP30">
        <f t="shared" si="7"/>
        <v>7</v>
      </c>
      <c r="AQ30">
        <f t="shared" si="8"/>
        <v>4</v>
      </c>
      <c r="AR30">
        <f t="shared" si="9"/>
        <v>63</v>
      </c>
    </row>
    <row r="31" spans="1:44">
      <c r="A31" s="1">
        <v>46110.922303240739</v>
      </c>
      <c r="B31">
        <v>1801.22</v>
      </c>
      <c r="C31">
        <v>1283</v>
      </c>
      <c r="D31">
        <v>175</v>
      </c>
      <c r="E31">
        <v>9</v>
      </c>
      <c r="F31">
        <v>520</v>
      </c>
      <c r="G31">
        <v>546</v>
      </c>
      <c r="H31">
        <v>34</v>
      </c>
      <c r="I31">
        <v>26</v>
      </c>
      <c r="J31">
        <v>127</v>
      </c>
      <c r="K31">
        <v>143</v>
      </c>
      <c r="L31">
        <v>5</v>
      </c>
      <c r="M31">
        <v>3</v>
      </c>
      <c r="N31">
        <v>51</v>
      </c>
      <c r="O31">
        <v>8</v>
      </c>
      <c r="P31">
        <v>6</v>
      </c>
      <c r="Q31">
        <v>0</v>
      </c>
      <c r="R31">
        <v>3</v>
      </c>
      <c r="S31">
        <v>4</v>
      </c>
      <c r="T31">
        <v>2</v>
      </c>
      <c r="U31">
        <v>0</v>
      </c>
      <c r="V31">
        <v>0</v>
      </c>
      <c r="W31">
        <v>167</v>
      </c>
      <c r="X31">
        <v>0</v>
      </c>
      <c r="Y31">
        <v>3</v>
      </c>
      <c r="Z31">
        <v>47</v>
      </c>
      <c r="AA31">
        <v>81</v>
      </c>
      <c r="AB31">
        <v>3</v>
      </c>
      <c r="AC31">
        <v>1</v>
      </c>
      <c r="AD31">
        <v>14</v>
      </c>
      <c r="AE31">
        <v>46</v>
      </c>
      <c r="AF31">
        <v>4</v>
      </c>
      <c r="AG31">
        <v>0</v>
      </c>
      <c r="AH31">
        <v>5</v>
      </c>
      <c r="AJ31">
        <f t="shared" si="2"/>
        <v>155</v>
      </c>
      <c r="AK31">
        <f t="shared" si="3"/>
        <v>13</v>
      </c>
      <c r="AL31">
        <f t="shared" si="4"/>
        <v>3</v>
      </c>
      <c r="AM31">
        <f t="shared" si="5"/>
        <v>54</v>
      </c>
      <c r="AO31">
        <f t="shared" si="6"/>
        <v>294</v>
      </c>
      <c r="AP31">
        <f t="shared" si="7"/>
        <v>7</v>
      </c>
      <c r="AQ31">
        <f t="shared" si="8"/>
        <v>4</v>
      </c>
      <c r="AR31">
        <f t="shared" si="9"/>
        <v>66</v>
      </c>
    </row>
    <row r="32" spans="1:44">
      <c r="A32" s="1">
        <v>46110.924664351849</v>
      </c>
      <c r="B32">
        <v>1861.26</v>
      </c>
      <c r="C32">
        <v>1323</v>
      </c>
      <c r="D32">
        <v>178</v>
      </c>
      <c r="E32">
        <v>9</v>
      </c>
      <c r="F32">
        <v>541</v>
      </c>
      <c r="G32">
        <v>563</v>
      </c>
      <c r="H32">
        <v>36</v>
      </c>
      <c r="I32">
        <v>26</v>
      </c>
      <c r="J32">
        <v>133</v>
      </c>
      <c r="K32">
        <v>147</v>
      </c>
      <c r="L32">
        <v>6</v>
      </c>
      <c r="M32">
        <v>3</v>
      </c>
      <c r="N32">
        <v>52</v>
      </c>
      <c r="O32">
        <v>8</v>
      </c>
      <c r="P32">
        <v>6</v>
      </c>
      <c r="Q32">
        <v>0</v>
      </c>
      <c r="R32">
        <v>3</v>
      </c>
      <c r="S32">
        <v>4</v>
      </c>
      <c r="T32">
        <v>2</v>
      </c>
      <c r="U32">
        <v>0</v>
      </c>
      <c r="V32">
        <v>0</v>
      </c>
      <c r="W32">
        <v>172</v>
      </c>
      <c r="X32">
        <v>0</v>
      </c>
      <c r="Y32">
        <v>3</v>
      </c>
      <c r="Z32">
        <v>49</v>
      </c>
      <c r="AA32">
        <v>83</v>
      </c>
      <c r="AB32">
        <v>4</v>
      </c>
      <c r="AC32">
        <v>1</v>
      </c>
      <c r="AD32">
        <v>14</v>
      </c>
      <c r="AE32">
        <v>48</v>
      </c>
      <c r="AF32">
        <v>4</v>
      </c>
      <c r="AG32">
        <v>0</v>
      </c>
      <c r="AH32">
        <v>6</v>
      </c>
      <c r="AJ32">
        <f t="shared" si="2"/>
        <v>159</v>
      </c>
      <c r="AK32">
        <f t="shared" si="3"/>
        <v>14</v>
      </c>
      <c r="AL32">
        <f t="shared" si="4"/>
        <v>3</v>
      </c>
      <c r="AM32">
        <f t="shared" si="5"/>
        <v>55</v>
      </c>
      <c r="AO32">
        <f t="shared" si="6"/>
        <v>303</v>
      </c>
      <c r="AP32">
        <f t="shared" si="7"/>
        <v>8</v>
      </c>
      <c r="AQ32">
        <f t="shared" si="8"/>
        <v>4</v>
      </c>
      <c r="AR32">
        <f t="shared" si="9"/>
        <v>69</v>
      </c>
    </row>
    <row r="33" spans="1:44">
      <c r="A33" s="1">
        <v>46110.927094907405</v>
      </c>
      <c r="B33">
        <v>1921.3</v>
      </c>
      <c r="C33">
        <v>1356</v>
      </c>
      <c r="D33">
        <v>186</v>
      </c>
      <c r="E33">
        <v>11</v>
      </c>
      <c r="F33">
        <v>557</v>
      </c>
      <c r="G33">
        <v>580</v>
      </c>
      <c r="H33">
        <v>36</v>
      </c>
      <c r="I33">
        <v>27</v>
      </c>
      <c r="J33">
        <v>141</v>
      </c>
      <c r="K33">
        <v>150</v>
      </c>
      <c r="L33">
        <v>6</v>
      </c>
      <c r="M33">
        <v>3</v>
      </c>
      <c r="N33">
        <v>55</v>
      </c>
      <c r="O33">
        <v>8</v>
      </c>
      <c r="P33">
        <v>6</v>
      </c>
      <c r="Q33">
        <v>0</v>
      </c>
      <c r="R33">
        <v>3</v>
      </c>
      <c r="S33">
        <v>4</v>
      </c>
      <c r="T33">
        <v>2</v>
      </c>
      <c r="U33">
        <v>0</v>
      </c>
      <c r="V33">
        <v>0</v>
      </c>
      <c r="W33">
        <v>180</v>
      </c>
      <c r="X33">
        <v>0</v>
      </c>
      <c r="Y33">
        <v>3</v>
      </c>
      <c r="Z33">
        <v>52</v>
      </c>
      <c r="AA33">
        <v>85</v>
      </c>
      <c r="AB33">
        <v>4</v>
      </c>
      <c r="AC33">
        <v>1</v>
      </c>
      <c r="AD33">
        <v>14</v>
      </c>
      <c r="AE33">
        <v>48</v>
      </c>
      <c r="AF33">
        <v>4</v>
      </c>
      <c r="AG33">
        <v>0</v>
      </c>
      <c r="AH33">
        <v>6</v>
      </c>
      <c r="AJ33">
        <f t="shared" si="2"/>
        <v>162</v>
      </c>
      <c r="AK33">
        <f t="shared" si="3"/>
        <v>14</v>
      </c>
      <c r="AL33">
        <f t="shared" si="4"/>
        <v>3</v>
      </c>
      <c r="AM33">
        <f t="shared" si="5"/>
        <v>58</v>
      </c>
      <c r="AO33">
        <f t="shared" si="6"/>
        <v>313</v>
      </c>
      <c r="AP33">
        <f t="shared" si="7"/>
        <v>8</v>
      </c>
      <c r="AQ33">
        <f t="shared" si="8"/>
        <v>4</v>
      </c>
      <c r="AR33">
        <f t="shared" si="9"/>
        <v>72</v>
      </c>
    </row>
    <row r="34" spans="1:44">
      <c r="A34" s="1">
        <v>46110.929479166669</v>
      </c>
      <c r="B34">
        <v>1981.34</v>
      </c>
      <c r="C34">
        <v>1399</v>
      </c>
      <c r="D34">
        <v>194</v>
      </c>
      <c r="E34">
        <v>11</v>
      </c>
      <c r="F34">
        <v>577</v>
      </c>
      <c r="G34">
        <v>599</v>
      </c>
      <c r="H34">
        <v>36</v>
      </c>
      <c r="I34">
        <v>28</v>
      </c>
      <c r="J34">
        <v>148</v>
      </c>
      <c r="K34">
        <v>151</v>
      </c>
      <c r="L34">
        <v>6</v>
      </c>
      <c r="M34">
        <v>3</v>
      </c>
      <c r="N34">
        <v>61</v>
      </c>
      <c r="O34">
        <v>9</v>
      </c>
      <c r="P34">
        <v>6</v>
      </c>
      <c r="Q34">
        <v>0</v>
      </c>
      <c r="R34">
        <v>3</v>
      </c>
      <c r="S34">
        <v>4</v>
      </c>
      <c r="T34">
        <v>2</v>
      </c>
      <c r="U34">
        <v>0</v>
      </c>
      <c r="V34">
        <v>0</v>
      </c>
      <c r="W34">
        <v>181</v>
      </c>
      <c r="X34">
        <v>0</v>
      </c>
      <c r="Y34">
        <v>3</v>
      </c>
      <c r="Z34">
        <v>54</v>
      </c>
      <c r="AA34">
        <v>88</v>
      </c>
      <c r="AB34">
        <v>4</v>
      </c>
      <c r="AC34">
        <v>1</v>
      </c>
      <c r="AD34">
        <v>14</v>
      </c>
      <c r="AE34">
        <v>50</v>
      </c>
      <c r="AF34">
        <v>4</v>
      </c>
      <c r="AG34">
        <v>0</v>
      </c>
      <c r="AH34">
        <v>8</v>
      </c>
      <c r="AJ34">
        <f t="shared" si="2"/>
        <v>164</v>
      </c>
      <c r="AK34">
        <f t="shared" si="3"/>
        <v>14</v>
      </c>
      <c r="AL34">
        <f t="shared" si="4"/>
        <v>3</v>
      </c>
      <c r="AM34">
        <f t="shared" si="5"/>
        <v>64</v>
      </c>
      <c r="AO34">
        <f t="shared" si="6"/>
        <v>319</v>
      </c>
      <c r="AP34">
        <f t="shared" si="7"/>
        <v>8</v>
      </c>
      <c r="AQ34">
        <f t="shared" si="8"/>
        <v>4</v>
      </c>
      <c r="AR34">
        <f t="shared" si="9"/>
        <v>76</v>
      </c>
    </row>
    <row r="35" spans="1:44">
      <c r="A35" s="1">
        <v>46110.931932870371</v>
      </c>
      <c r="B35">
        <v>2041.38</v>
      </c>
      <c r="C35">
        <v>1437</v>
      </c>
      <c r="D35">
        <v>203</v>
      </c>
      <c r="E35">
        <v>11</v>
      </c>
      <c r="F35">
        <v>598</v>
      </c>
      <c r="G35">
        <v>613</v>
      </c>
      <c r="H35">
        <v>39</v>
      </c>
      <c r="I35">
        <v>30</v>
      </c>
      <c r="J35">
        <v>157</v>
      </c>
      <c r="K35">
        <v>157</v>
      </c>
      <c r="L35">
        <v>6</v>
      </c>
      <c r="M35">
        <v>3</v>
      </c>
      <c r="N35">
        <v>64</v>
      </c>
      <c r="O35">
        <v>10</v>
      </c>
      <c r="P35">
        <v>6</v>
      </c>
      <c r="Q35">
        <v>0</v>
      </c>
      <c r="R35">
        <v>3</v>
      </c>
      <c r="S35">
        <v>5</v>
      </c>
      <c r="T35">
        <v>2</v>
      </c>
      <c r="U35">
        <v>0</v>
      </c>
      <c r="V35">
        <v>0</v>
      </c>
      <c r="W35">
        <v>188</v>
      </c>
      <c r="X35">
        <v>0</v>
      </c>
      <c r="Y35">
        <v>3</v>
      </c>
      <c r="Z35">
        <v>61</v>
      </c>
      <c r="AA35">
        <v>89</v>
      </c>
      <c r="AB35">
        <v>4</v>
      </c>
      <c r="AC35">
        <v>1</v>
      </c>
      <c r="AD35">
        <v>14</v>
      </c>
      <c r="AE35">
        <v>50</v>
      </c>
      <c r="AF35">
        <v>4</v>
      </c>
      <c r="AG35">
        <v>0</v>
      </c>
      <c r="AH35">
        <v>8</v>
      </c>
      <c r="AJ35">
        <f t="shared" si="2"/>
        <v>172</v>
      </c>
      <c r="AK35">
        <f t="shared" si="3"/>
        <v>14</v>
      </c>
      <c r="AL35">
        <f t="shared" si="4"/>
        <v>3</v>
      </c>
      <c r="AM35">
        <f t="shared" si="5"/>
        <v>67</v>
      </c>
      <c r="AO35">
        <f t="shared" si="6"/>
        <v>327</v>
      </c>
      <c r="AP35">
        <f t="shared" si="7"/>
        <v>8</v>
      </c>
      <c r="AQ35">
        <f t="shared" si="8"/>
        <v>4</v>
      </c>
      <c r="AR35">
        <f t="shared" si="9"/>
        <v>83</v>
      </c>
    </row>
    <row r="36" spans="1:44">
      <c r="A36" s="1">
        <v>46110.93440972222</v>
      </c>
      <c r="B36">
        <v>2101.42</v>
      </c>
      <c r="C36">
        <v>1494</v>
      </c>
      <c r="D36">
        <v>207</v>
      </c>
      <c r="E36">
        <v>11</v>
      </c>
      <c r="F36">
        <v>609</v>
      </c>
      <c r="G36">
        <v>630</v>
      </c>
      <c r="H36">
        <v>39</v>
      </c>
      <c r="I36">
        <v>34</v>
      </c>
      <c r="J36">
        <v>168</v>
      </c>
      <c r="K36">
        <v>161</v>
      </c>
      <c r="L36">
        <v>6</v>
      </c>
      <c r="M36">
        <v>3</v>
      </c>
      <c r="N36">
        <v>65</v>
      </c>
      <c r="O36">
        <v>10</v>
      </c>
      <c r="P36">
        <v>7</v>
      </c>
      <c r="Q36">
        <v>0</v>
      </c>
      <c r="R36">
        <v>3</v>
      </c>
      <c r="S36">
        <v>5</v>
      </c>
      <c r="T36">
        <v>3</v>
      </c>
      <c r="U36">
        <v>0</v>
      </c>
      <c r="V36">
        <v>0</v>
      </c>
      <c r="W36">
        <v>196</v>
      </c>
      <c r="X36">
        <v>0</v>
      </c>
      <c r="Y36">
        <v>3</v>
      </c>
      <c r="Z36">
        <v>62</v>
      </c>
      <c r="AA36">
        <v>92</v>
      </c>
      <c r="AB36">
        <v>4</v>
      </c>
      <c r="AC36">
        <v>1</v>
      </c>
      <c r="AD36">
        <v>15</v>
      </c>
      <c r="AE36">
        <v>50</v>
      </c>
      <c r="AF36">
        <v>4</v>
      </c>
      <c r="AG36">
        <v>0</v>
      </c>
      <c r="AH36">
        <v>8</v>
      </c>
      <c r="AJ36">
        <f t="shared" si="2"/>
        <v>176</v>
      </c>
      <c r="AK36">
        <f t="shared" si="3"/>
        <v>16</v>
      </c>
      <c r="AL36">
        <f t="shared" si="4"/>
        <v>3</v>
      </c>
      <c r="AM36">
        <f t="shared" si="5"/>
        <v>68</v>
      </c>
      <c r="AO36">
        <f t="shared" si="6"/>
        <v>338</v>
      </c>
      <c r="AP36">
        <f t="shared" si="7"/>
        <v>8</v>
      </c>
      <c r="AQ36">
        <f t="shared" si="8"/>
        <v>4</v>
      </c>
      <c r="AR36">
        <f t="shared" si="9"/>
        <v>85</v>
      </c>
    </row>
    <row r="37" spans="1:44">
      <c r="A37" s="1">
        <v>46110.936851851853</v>
      </c>
      <c r="B37">
        <v>2161.46</v>
      </c>
      <c r="C37">
        <v>1565</v>
      </c>
      <c r="D37">
        <v>214</v>
      </c>
      <c r="E37">
        <v>12</v>
      </c>
      <c r="F37">
        <v>626</v>
      </c>
      <c r="G37">
        <v>651</v>
      </c>
      <c r="H37">
        <v>39</v>
      </c>
      <c r="I37">
        <v>36</v>
      </c>
      <c r="J37">
        <v>171</v>
      </c>
      <c r="K37">
        <v>168</v>
      </c>
      <c r="L37">
        <v>7</v>
      </c>
      <c r="M37">
        <v>3</v>
      </c>
      <c r="N37">
        <v>68</v>
      </c>
      <c r="O37">
        <v>11</v>
      </c>
      <c r="P37">
        <v>7</v>
      </c>
      <c r="Q37">
        <v>0</v>
      </c>
      <c r="R37">
        <v>3</v>
      </c>
      <c r="S37">
        <v>5</v>
      </c>
      <c r="T37">
        <v>3</v>
      </c>
      <c r="U37">
        <v>0</v>
      </c>
      <c r="V37">
        <v>0</v>
      </c>
      <c r="W37">
        <v>204</v>
      </c>
      <c r="X37">
        <v>0</v>
      </c>
      <c r="Y37">
        <v>3</v>
      </c>
      <c r="Z37">
        <v>63</v>
      </c>
      <c r="AA37">
        <v>93</v>
      </c>
      <c r="AB37">
        <v>4</v>
      </c>
      <c r="AC37">
        <v>1</v>
      </c>
      <c r="AD37">
        <v>16</v>
      </c>
      <c r="AE37">
        <v>51</v>
      </c>
      <c r="AF37">
        <v>4</v>
      </c>
      <c r="AG37">
        <v>0</v>
      </c>
      <c r="AH37">
        <v>8</v>
      </c>
      <c r="AJ37">
        <f t="shared" si="2"/>
        <v>184</v>
      </c>
      <c r="AK37">
        <f t="shared" si="3"/>
        <v>17</v>
      </c>
      <c r="AL37">
        <f t="shared" si="4"/>
        <v>3</v>
      </c>
      <c r="AM37">
        <f t="shared" si="5"/>
        <v>71</v>
      </c>
      <c r="AO37">
        <f t="shared" si="6"/>
        <v>348</v>
      </c>
      <c r="AP37">
        <f t="shared" si="7"/>
        <v>8</v>
      </c>
      <c r="AQ37">
        <f t="shared" si="8"/>
        <v>4</v>
      </c>
      <c r="AR37">
        <f t="shared" si="9"/>
        <v>87</v>
      </c>
    </row>
    <row r="38" spans="1:44">
      <c r="A38" s="1">
        <v>46110.939236111109</v>
      </c>
      <c r="B38">
        <v>2221.5100000000002</v>
      </c>
      <c r="C38">
        <v>1620</v>
      </c>
      <c r="D38">
        <v>219</v>
      </c>
      <c r="E38">
        <v>12</v>
      </c>
      <c r="F38">
        <v>640</v>
      </c>
      <c r="G38">
        <v>671</v>
      </c>
      <c r="H38">
        <v>42</v>
      </c>
      <c r="I38">
        <v>36</v>
      </c>
      <c r="J38">
        <v>178</v>
      </c>
      <c r="K38">
        <v>176</v>
      </c>
      <c r="L38">
        <v>7</v>
      </c>
      <c r="M38">
        <v>4</v>
      </c>
      <c r="N38">
        <v>71</v>
      </c>
      <c r="O38">
        <v>11</v>
      </c>
      <c r="P38">
        <v>7</v>
      </c>
      <c r="Q38">
        <v>0</v>
      </c>
      <c r="R38">
        <v>3</v>
      </c>
      <c r="S38">
        <v>5</v>
      </c>
      <c r="T38">
        <v>3</v>
      </c>
      <c r="U38">
        <v>0</v>
      </c>
      <c r="V38">
        <v>0</v>
      </c>
      <c r="W38">
        <v>212</v>
      </c>
      <c r="X38">
        <v>0</v>
      </c>
      <c r="Y38">
        <v>3</v>
      </c>
      <c r="Z38">
        <v>67</v>
      </c>
      <c r="AA38">
        <v>94</v>
      </c>
      <c r="AB38">
        <v>4</v>
      </c>
      <c r="AC38">
        <v>1</v>
      </c>
      <c r="AD38">
        <v>16</v>
      </c>
      <c r="AE38">
        <v>55</v>
      </c>
      <c r="AF38">
        <v>4</v>
      </c>
      <c r="AG38">
        <v>0</v>
      </c>
      <c r="AH38">
        <v>8</v>
      </c>
      <c r="AJ38">
        <f t="shared" si="2"/>
        <v>192</v>
      </c>
      <c r="AK38">
        <f t="shared" si="3"/>
        <v>17</v>
      </c>
      <c r="AL38">
        <f t="shared" si="4"/>
        <v>4</v>
      </c>
      <c r="AM38">
        <f t="shared" si="5"/>
        <v>74</v>
      </c>
      <c r="AO38">
        <f t="shared" si="6"/>
        <v>361</v>
      </c>
      <c r="AP38">
        <f t="shared" si="7"/>
        <v>8</v>
      </c>
      <c r="AQ38">
        <f t="shared" si="8"/>
        <v>4</v>
      </c>
      <c r="AR38">
        <f t="shared" si="9"/>
        <v>91</v>
      </c>
    </row>
    <row r="39" spans="1:44">
      <c r="A39" s="1">
        <v>46110.941620370373</v>
      </c>
      <c r="B39">
        <v>2281.5500000000002</v>
      </c>
      <c r="C39">
        <v>1660</v>
      </c>
      <c r="D39">
        <v>223</v>
      </c>
      <c r="E39">
        <v>12</v>
      </c>
      <c r="F39">
        <v>659</v>
      </c>
      <c r="G39">
        <v>693</v>
      </c>
      <c r="H39">
        <v>43</v>
      </c>
      <c r="I39">
        <v>36</v>
      </c>
      <c r="J39">
        <v>186</v>
      </c>
      <c r="K39">
        <v>181</v>
      </c>
      <c r="L39">
        <v>7</v>
      </c>
      <c r="M39">
        <v>4</v>
      </c>
      <c r="N39">
        <v>74</v>
      </c>
      <c r="O39">
        <v>11</v>
      </c>
      <c r="P39">
        <v>7</v>
      </c>
      <c r="Q39">
        <v>0</v>
      </c>
      <c r="R39">
        <v>4</v>
      </c>
      <c r="S39">
        <v>5</v>
      </c>
      <c r="T39">
        <v>3</v>
      </c>
      <c r="U39">
        <v>0</v>
      </c>
      <c r="V39">
        <v>0</v>
      </c>
      <c r="W39">
        <v>215</v>
      </c>
      <c r="X39">
        <v>0</v>
      </c>
      <c r="Y39">
        <v>3</v>
      </c>
      <c r="Z39">
        <v>68</v>
      </c>
      <c r="AA39">
        <v>98</v>
      </c>
      <c r="AB39">
        <v>4</v>
      </c>
      <c r="AC39">
        <v>1</v>
      </c>
      <c r="AD39">
        <v>16</v>
      </c>
      <c r="AE39">
        <v>58</v>
      </c>
      <c r="AF39">
        <v>4</v>
      </c>
      <c r="AG39">
        <v>0</v>
      </c>
      <c r="AH39">
        <v>9</v>
      </c>
      <c r="AJ39">
        <f t="shared" si="2"/>
        <v>197</v>
      </c>
      <c r="AK39">
        <f t="shared" si="3"/>
        <v>17</v>
      </c>
      <c r="AL39">
        <f t="shared" si="4"/>
        <v>4</v>
      </c>
      <c r="AM39">
        <f t="shared" si="5"/>
        <v>78</v>
      </c>
      <c r="AO39">
        <f t="shared" si="6"/>
        <v>371</v>
      </c>
      <c r="AP39">
        <f t="shared" si="7"/>
        <v>8</v>
      </c>
      <c r="AQ39">
        <f t="shared" si="8"/>
        <v>4</v>
      </c>
      <c r="AR39">
        <f t="shared" si="9"/>
        <v>93</v>
      </c>
    </row>
    <row r="40" spans="1:44">
      <c r="A40" s="1">
        <v>46110.944004629629</v>
      </c>
      <c r="B40">
        <v>2341.59</v>
      </c>
      <c r="C40">
        <v>1702</v>
      </c>
      <c r="D40">
        <v>229</v>
      </c>
      <c r="E40">
        <v>13</v>
      </c>
      <c r="F40">
        <v>671</v>
      </c>
      <c r="G40">
        <v>717</v>
      </c>
      <c r="H40">
        <v>44</v>
      </c>
      <c r="I40">
        <v>37</v>
      </c>
      <c r="J40">
        <v>190</v>
      </c>
      <c r="K40">
        <v>189</v>
      </c>
      <c r="L40">
        <v>7</v>
      </c>
      <c r="M40">
        <v>5</v>
      </c>
      <c r="N40">
        <v>78</v>
      </c>
      <c r="O40">
        <v>11</v>
      </c>
      <c r="P40">
        <v>7</v>
      </c>
      <c r="Q40">
        <v>0</v>
      </c>
      <c r="R40">
        <v>4</v>
      </c>
      <c r="S40">
        <v>5</v>
      </c>
      <c r="T40">
        <v>3</v>
      </c>
      <c r="U40">
        <v>0</v>
      </c>
      <c r="V40">
        <v>0</v>
      </c>
      <c r="W40">
        <v>220</v>
      </c>
      <c r="X40">
        <v>0</v>
      </c>
      <c r="Y40">
        <v>3</v>
      </c>
      <c r="Z40">
        <v>69</v>
      </c>
      <c r="AA40">
        <v>102</v>
      </c>
      <c r="AB40">
        <v>4</v>
      </c>
      <c r="AC40">
        <v>1</v>
      </c>
      <c r="AD40">
        <v>17</v>
      </c>
      <c r="AE40">
        <v>60</v>
      </c>
      <c r="AF40">
        <v>4</v>
      </c>
      <c r="AG40">
        <v>0</v>
      </c>
      <c r="AH40">
        <v>9</v>
      </c>
      <c r="AJ40">
        <f t="shared" si="2"/>
        <v>205</v>
      </c>
      <c r="AK40">
        <f t="shared" si="3"/>
        <v>17</v>
      </c>
      <c r="AL40">
        <f t="shared" si="4"/>
        <v>5</v>
      </c>
      <c r="AM40">
        <f t="shared" si="5"/>
        <v>82</v>
      </c>
      <c r="AO40">
        <f t="shared" si="6"/>
        <v>382</v>
      </c>
      <c r="AP40">
        <f t="shared" si="7"/>
        <v>8</v>
      </c>
      <c r="AQ40">
        <f t="shared" si="8"/>
        <v>4</v>
      </c>
      <c r="AR40">
        <f t="shared" si="9"/>
        <v>95</v>
      </c>
    </row>
    <row r="41" spans="1:44">
      <c r="A41" s="1">
        <v>46110.946446759262</v>
      </c>
      <c r="B41">
        <v>2401.63</v>
      </c>
      <c r="C41">
        <v>1741</v>
      </c>
      <c r="D41">
        <v>233</v>
      </c>
      <c r="E41">
        <v>13</v>
      </c>
      <c r="F41">
        <v>684</v>
      </c>
      <c r="G41">
        <v>736</v>
      </c>
      <c r="H41">
        <v>47</v>
      </c>
      <c r="I41">
        <v>37</v>
      </c>
      <c r="J41">
        <v>195</v>
      </c>
      <c r="K41">
        <v>197</v>
      </c>
      <c r="L41">
        <v>9</v>
      </c>
      <c r="M41">
        <v>5</v>
      </c>
      <c r="N41">
        <v>80</v>
      </c>
      <c r="O41">
        <v>11</v>
      </c>
      <c r="P41">
        <v>7</v>
      </c>
      <c r="Q41">
        <v>0</v>
      </c>
      <c r="R41">
        <v>4</v>
      </c>
      <c r="S41">
        <v>5</v>
      </c>
      <c r="T41">
        <v>3</v>
      </c>
      <c r="U41">
        <v>0</v>
      </c>
      <c r="V41">
        <v>0</v>
      </c>
      <c r="W41">
        <v>223</v>
      </c>
      <c r="X41">
        <v>0</v>
      </c>
      <c r="Y41">
        <v>3</v>
      </c>
      <c r="Z41">
        <v>70</v>
      </c>
      <c r="AA41">
        <v>106</v>
      </c>
      <c r="AB41">
        <v>4</v>
      </c>
      <c r="AC41">
        <v>1</v>
      </c>
      <c r="AD41">
        <v>17</v>
      </c>
      <c r="AE41">
        <v>60</v>
      </c>
      <c r="AF41">
        <v>4</v>
      </c>
      <c r="AG41">
        <v>0</v>
      </c>
      <c r="AH41">
        <v>9</v>
      </c>
      <c r="AJ41">
        <f t="shared" si="2"/>
        <v>213</v>
      </c>
      <c r="AK41">
        <f t="shared" si="3"/>
        <v>19</v>
      </c>
      <c r="AL41">
        <f t="shared" si="4"/>
        <v>5</v>
      </c>
      <c r="AM41">
        <f t="shared" si="5"/>
        <v>84</v>
      </c>
      <c r="AO41">
        <f t="shared" si="6"/>
        <v>389</v>
      </c>
      <c r="AP41">
        <f t="shared" si="7"/>
        <v>8</v>
      </c>
      <c r="AQ41">
        <f t="shared" si="8"/>
        <v>4</v>
      </c>
      <c r="AR41">
        <f t="shared" si="9"/>
        <v>96</v>
      </c>
    </row>
    <row r="42" spans="1:44">
      <c r="A42" s="1">
        <v>46110.948958333334</v>
      </c>
      <c r="B42">
        <v>2461.67</v>
      </c>
      <c r="C42">
        <v>1783</v>
      </c>
      <c r="D42">
        <v>241</v>
      </c>
      <c r="E42">
        <v>14</v>
      </c>
      <c r="F42">
        <v>708</v>
      </c>
      <c r="G42">
        <v>758</v>
      </c>
      <c r="H42">
        <v>47</v>
      </c>
      <c r="I42">
        <v>37</v>
      </c>
      <c r="J42">
        <v>200</v>
      </c>
      <c r="K42">
        <v>199</v>
      </c>
      <c r="L42">
        <v>9</v>
      </c>
      <c r="M42">
        <v>5</v>
      </c>
      <c r="N42">
        <v>82</v>
      </c>
      <c r="O42">
        <v>11</v>
      </c>
      <c r="P42">
        <v>8</v>
      </c>
      <c r="Q42">
        <v>0</v>
      </c>
      <c r="R42">
        <v>4</v>
      </c>
      <c r="S42">
        <v>5</v>
      </c>
      <c r="T42">
        <v>3</v>
      </c>
      <c r="U42">
        <v>0</v>
      </c>
      <c r="V42">
        <v>0</v>
      </c>
      <c r="W42">
        <v>229</v>
      </c>
      <c r="X42">
        <v>0</v>
      </c>
      <c r="Y42">
        <v>3</v>
      </c>
      <c r="Z42">
        <v>73</v>
      </c>
      <c r="AA42">
        <v>111</v>
      </c>
      <c r="AB42">
        <v>5</v>
      </c>
      <c r="AC42">
        <v>1</v>
      </c>
      <c r="AD42">
        <v>17</v>
      </c>
      <c r="AE42">
        <v>61</v>
      </c>
      <c r="AF42">
        <v>4</v>
      </c>
      <c r="AG42">
        <v>0</v>
      </c>
      <c r="AH42">
        <v>9</v>
      </c>
      <c r="AJ42">
        <f t="shared" si="2"/>
        <v>215</v>
      </c>
      <c r="AK42">
        <f t="shared" si="3"/>
        <v>20</v>
      </c>
      <c r="AL42">
        <f t="shared" si="4"/>
        <v>5</v>
      </c>
      <c r="AM42">
        <f t="shared" si="5"/>
        <v>86</v>
      </c>
      <c r="AO42">
        <f t="shared" si="6"/>
        <v>401</v>
      </c>
      <c r="AP42">
        <f t="shared" si="7"/>
        <v>9</v>
      </c>
      <c r="AQ42">
        <f t="shared" si="8"/>
        <v>4</v>
      </c>
      <c r="AR42">
        <f t="shared" si="9"/>
        <v>99</v>
      </c>
    </row>
    <row r="43" spans="1:44">
      <c r="A43" s="1">
        <v>46110.951481481483</v>
      </c>
      <c r="B43">
        <v>2521.71</v>
      </c>
      <c r="C43">
        <v>1832</v>
      </c>
      <c r="D43">
        <v>247</v>
      </c>
      <c r="E43">
        <v>15</v>
      </c>
      <c r="F43">
        <v>724</v>
      </c>
      <c r="G43">
        <v>780</v>
      </c>
      <c r="H43">
        <v>47</v>
      </c>
      <c r="I43">
        <v>37</v>
      </c>
      <c r="J43">
        <v>203</v>
      </c>
      <c r="K43">
        <v>206</v>
      </c>
      <c r="L43">
        <v>9</v>
      </c>
      <c r="M43">
        <v>5</v>
      </c>
      <c r="N43">
        <v>85</v>
      </c>
      <c r="O43">
        <v>11</v>
      </c>
      <c r="P43">
        <v>8</v>
      </c>
      <c r="Q43">
        <v>0</v>
      </c>
      <c r="R43">
        <v>4</v>
      </c>
      <c r="S43">
        <v>5</v>
      </c>
      <c r="T43">
        <v>3</v>
      </c>
      <c r="U43">
        <v>0</v>
      </c>
      <c r="V43">
        <v>0</v>
      </c>
      <c r="W43">
        <v>236</v>
      </c>
      <c r="X43">
        <v>0</v>
      </c>
      <c r="Y43">
        <v>3</v>
      </c>
      <c r="Z43">
        <v>74</v>
      </c>
      <c r="AA43">
        <v>114</v>
      </c>
      <c r="AB43">
        <v>5</v>
      </c>
      <c r="AC43">
        <v>1</v>
      </c>
      <c r="AD43">
        <v>17</v>
      </c>
      <c r="AE43">
        <v>62</v>
      </c>
      <c r="AF43">
        <v>4</v>
      </c>
      <c r="AG43">
        <v>0</v>
      </c>
      <c r="AH43">
        <v>9</v>
      </c>
      <c r="AJ43">
        <f t="shared" si="2"/>
        <v>222</v>
      </c>
      <c r="AK43">
        <f t="shared" si="3"/>
        <v>20</v>
      </c>
      <c r="AL43">
        <f t="shared" si="4"/>
        <v>5</v>
      </c>
      <c r="AM43">
        <f t="shared" si="5"/>
        <v>89</v>
      </c>
      <c r="AO43">
        <f t="shared" si="6"/>
        <v>412</v>
      </c>
      <c r="AP43">
        <f t="shared" si="7"/>
        <v>9</v>
      </c>
      <c r="AQ43">
        <f t="shared" si="8"/>
        <v>4</v>
      </c>
      <c r="AR43">
        <f t="shared" si="9"/>
        <v>100</v>
      </c>
    </row>
    <row r="44" spans="1:44">
      <c r="A44" s="1">
        <v>46110.953912037039</v>
      </c>
      <c r="B44">
        <v>2581.75</v>
      </c>
      <c r="C44">
        <v>1869</v>
      </c>
      <c r="D44">
        <v>258</v>
      </c>
      <c r="E44">
        <v>17</v>
      </c>
      <c r="F44">
        <v>744</v>
      </c>
      <c r="G44">
        <v>814</v>
      </c>
      <c r="H44">
        <v>48</v>
      </c>
      <c r="I44">
        <v>38</v>
      </c>
      <c r="J44">
        <v>205</v>
      </c>
      <c r="K44">
        <v>214</v>
      </c>
      <c r="L44">
        <v>9</v>
      </c>
      <c r="M44">
        <v>5</v>
      </c>
      <c r="N44">
        <v>86</v>
      </c>
      <c r="O44">
        <v>11</v>
      </c>
      <c r="P44">
        <v>9</v>
      </c>
      <c r="Q44">
        <v>0</v>
      </c>
      <c r="R44">
        <v>4</v>
      </c>
      <c r="S44">
        <v>5</v>
      </c>
      <c r="T44">
        <v>3</v>
      </c>
      <c r="U44">
        <v>0</v>
      </c>
      <c r="V44">
        <v>0</v>
      </c>
      <c r="W44">
        <v>239</v>
      </c>
      <c r="X44">
        <v>0</v>
      </c>
      <c r="Y44">
        <v>4</v>
      </c>
      <c r="Z44">
        <v>74</v>
      </c>
      <c r="AA44">
        <v>118</v>
      </c>
      <c r="AB44">
        <v>5</v>
      </c>
      <c r="AC44">
        <v>1</v>
      </c>
      <c r="AD44">
        <v>17</v>
      </c>
      <c r="AE44">
        <v>68</v>
      </c>
      <c r="AF44">
        <v>5</v>
      </c>
      <c r="AG44">
        <v>0</v>
      </c>
      <c r="AH44">
        <v>10</v>
      </c>
      <c r="AJ44">
        <f t="shared" si="2"/>
        <v>230</v>
      </c>
      <c r="AK44">
        <f t="shared" si="3"/>
        <v>21</v>
      </c>
      <c r="AL44">
        <f t="shared" si="4"/>
        <v>5</v>
      </c>
      <c r="AM44">
        <f t="shared" si="5"/>
        <v>90</v>
      </c>
      <c r="AO44">
        <f t="shared" si="6"/>
        <v>425</v>
      </c>
      <c r="AP44">
        <f t="shared" si="7"/>
        <v>10</v>
      </c>
      <c r="AQ44">
        <f t="shared" si="8"/>
        <v>5</v>
      </c>
      <c r="AR44">
        <f t="shared" si="9"/>
        <v>101</v>
      </c>
    </row>
    <row r="45" spans="1:44">
      <c r="A45" s="1">
        <v>46110.956354166665</v>
      </c>
      <c r="B45">
        <v>2641.79</v>
      </c>
      <c r="C45">
        <v>1902</v>
      </c>
      <c r="D45">
        <v>262</v>
      </c>
      <c r="E45">
        <v>17</v>
      </c>
      <c r="F45">
        <v>766</v>
      </c>
      <c r="G45">
        <v>840</v>
      </c>
      <c r="H45">
        <v>48</v>
      </c>
      <c r="I45">
        <v>39</v>
      </c>
      <c r="J45">
        <v>205</v>
      </c>
      <c r="K45">
        <v>223</v>
      </c>
      <c r="L45">
        <v>9</v>
      </c>
      <c r="M45">
        <v>5</v>
      </c>
      <c r="N45">
        <v>86</v>
      </c>
      <c r="O45">
        <v>11</v>
      </c>
      <c r="P45">
        <v>9</v>
      </c>
      <c r="Q45">
        <v>0</v>
      </c>
      <c r="R45">
        <v>4</v>
      </c>
      <c r="S45">
        <v>5</v>
      </c>
      <c r="T45">
        <v>3</v>
      </c>
      <c r="U45">
        <v>0</v>
      </c>
      <c r="V45">
        <v>0</v>
      </c>
      <c r="W45">
        <v>251</v>
      </c>
      <c r="X45">
        <v>0</v>
      </c>
      <c r="Y45">
        <v>4</v>
      </c>
      <c r="Z45">
        <v>74</v>
      </c>
      <c r="AA45">
        <v>120</v>
      </c>
      <c r="AB45">
        <v>5</v>
      </c>
      <c r="AC45">
        <v>1</v>
      </c>
      <c r="AD45">
        <v>17</v>
      </c>
      <c r="AE45">
        <v>70</v>
      </c>
      <c r="AF45">
        <v>5</v>
      </c>
      <c r="AG45">
        <v>0</v>
      </c>
      <c r="AH45">
        <v>10</v>
      </c>
      <c r="AJ45">
        <f t="shared" si="2"/>
        <v>239</v>
      </c>
      <c r="AK45">
        <f t="shared" si="3"/>
        <v>21</v>
      </c>
      <c r="AL45">
        <f t="shared" si="4"/>
        <v>5</v>
      </c>
      <c r="AM45">
        <f t="shared" si="5"/>
        <v>90</v>
      </c>
      <c r="AO45">
        <f t="shared" si="6"/>
        <v>441</v>
      </c>
      <c r="AP45">
        <f t="shared" si="7"/>
        <v>10</v>
      </c>
      <c r="AQ45">
        <f t="shared" si="8"/>
        <v>5</v>
      </c>
      <c r="AR45">
        <f t="shared" si="9"/>
        <v>101</v>
      </c>
    </row>
    <row r="46" spans="1:44">
      <c r="A46" s="1">
        <v>46110.958854166667</v>
      </c>
      <c r="B46">
        <v>2701.83</v>
      </c>
      <c r="C46">
        <v>1948</v>
      </c>
      <c r="D46">
        <v>269</v>
      </c>
      <c r="E46">
        <v>17</v>
      </c>
      <c r="F46">
        <v>781</v>
      </c>
      <c r="G46">
        <v>863</v>
      </c>
      <c r="H46">
        <v>49</v>
      </c>
      <c r="I46">
        <v>40</v>
      </c>
      <c r="J46">
        <v>206</v>
      </c>
      <c r="K46">
        <v>229</v>
      </c>
      <c r="L46">
        <v>9</v>
      </c>
      <c r="M46">
        <v>5</v>
      </c>
      <c r="N46">
        <v>88</v>
      </c>
      <c r="O46">
        <v>11</v>
      </c>
      <c r="P46">
        <v>9</v>
      </c>
      <c r="Q46">
        <v>0</v>
      </c>
      <c r="R46">
        <v>4</v>
      </c>
      <c r="S46">
        <v>5</v>
      </c>
      <c r="T46">
        <v>3</v>
      </c>
      <c r="U46">
        <v>0</v>
      </c>
      <c r="V46">
        <v>0</v>
      </c>
      <c r="W46">
        <v>254</v>
      </c>
      <c r="X46">
        <v>0</v>
      </c>
      <c r="Y46">
        <v>4</v>
      </c>
      <c r="Z46">
        <v>74</v>
      </c>
      <c r="AA46">
        <v>124</v>
      </c>
      <c r="AB46">
        <v>5</v>
      </c>
      <c r="AC46">
        <v>1</v>
      </c>
      <c r="AD46">
        <v>17</v>
      </c>
      <c r="AE46">
        <v>73</v>
      </c>
      <c r="AF46">
        <v>5</v>
      </c>
      <c r="AG46">
        <v>0</v>
      </c>
      <c r="AH46">
        <v>10</v>
      </c>
      <c r="AJ46">
        <f t="shared" si="2"/>
        <v>245</v>
      </c>
      <c r="AK46">
        <f t="shared" si="3"/>
        <v>21</v>
      </c>
      <c r="AL46">
        <f t="shared" si="4"/>
        <v>5</v>
      </c>
      <c r="AM46">
        <f t="shared" si="5"/>
        <v>92</v>
      </c>
      <c r="AO46">
        <f t="shared" si="6"/>
        <v>451</v>
      </c>
      <c r="AP46">
        <f t="shared" si="7"/>
        <v>10</v>
      </c>
      <c r="AQ46">
        <f t="shared" si="8"/>
        <v>5</v>
      </c>
      <c r="AR46">
        <f t="shared" si="9"/>
        <v>101</v>
      </c>
    </row>
    <row r="47" spans="1:44">
      <c r="A47" s="1">
        <v>46110.961354166669</v>
      </c>
      <c r="B47">
        <v>2761.87</v>
      </c>
      <c r="C47">
        <v>1980</v>
      </c>
      <c r="D47">
        <v>275</v>
      </c>
      <c r="E47">
        <v>19</v>
      </c>
      <c r="F47">
        <v>799</v>
      </c>
      <c r="G47">
        <v>887</v>
      </c>
      <c r="H47">
        <v>51</v>
      </c>
      <c r="I47">
        <v>41</v>
      </c>
      <c r="J47">
        <v>207</v>
      </c>
      <c r="K47">
        <v>236</v>
      </c>
      <c r="L47">
        <v>9</v>
      </c>
      <c r="M47">
        <v>6</v>
      </c>
      <c r="N47">
        <v>90</v>
      </c>
      <c r="O47">
        <v>11</v>
      </c>
      <c r="P47">
        <v>9</v>
      </c>
      <c r="Q47">
        <v>0</v>
      </c>
      <c r="R47">
        <v>4</v>
      </c>
      <c r="S47">
        <v>5</v>
      </c>
      <c r="T47">
        <v>3</v>
      </c>
      <c r="U47">
        <v>0</v>
      </c>
      <c r="V47">
        <v>0</v>
      </c>
      <c r="W47">
        <v>261</v>
      </c>
      <c r="X47">
        <v>0</v>
      </c>
      <c r="Y47">
        <v>4</v>
      </c>
      <c r="Z47">
        <v>74</v>
      </c>
      <c r="AA47">
        <v>129</v>
      </c>
      <c r="AB47">
        <v>5</v>
      </c>
      <c r="AC47">
        <v>1</v>
      </c>
      <c r="AD47">
        <v>18</v>
      </c>
      <c r="AE47">
        <v>74</v>
      </c>
      <c r="AF47">
        <v>5</v>
      </c>
      <c r="AG47">
        <v>0</v>
      </c>
      <c r="AH47">
        <v>10</v>
      </c>
      <c r="AJ47">
        <f t="shared" si="2"/>
        <v>252</v>
      </c>
      <c r="AK47">
        <f t="shared" si="3"/>
        <v>21</v>
      </c>
      <c r="AL47">
        <f t="shared" si="4"/>
        <v>6</v>
      </c>
      <c r="AM47">
        <f t="shared" si="5"/>
        <v>94</v>
      </c>
      <c r="AO47">
        <f t="shared" si="6"/>
        <v>464</v>
      </c>
      <c r="AP47">
        <f t="shared" si="7"/>
        <v>10</v>
      </c>
      <c r="AQ47">
        <f t="shared" si="8"/>
        <v>5</v>
      </c>
      <c r="AR47">
        <f t="shared" si="9"/>
        <v>102</v>
      </c>
    </row>
    <row r="48" spans="1:44">
      <c r="A48" s="1">
        <v>46110.963807870372</v>
      </c>
      <c r="B48">
        <v>2821.91</v>
      </c>
      <c r="C48">
        <v>2018</v>
      </c>
      <c r="D48">
        <v>281</v>
      </c>
      <c r="E48">
        <v>19</v>
      </c>
      <c r="F48">
        <v>812</v>
      </c>
      <c r="G48">
        <v>909</v>
      </c>
      <c r="H48">
        <v>53</v>
      </c>
      <c r="I48">
        <v>42</v>
      </c>
      <c r="J48">
        <v>211</v>
      </c>
      <c r="K48">
        <v>243</v>
      </c>
      <c r="L48">
        <v>9</v>
      </c>
      <c r="M48">
        <v>7</v>
      </c>
      <c r="N48">
        <v>91</v>
      </c>
      <c r="O48">
        <v>12</v>
      </c>
      <c r="P48">
        <v>9</v>
      </c>
      <c r="Q48">
        <v>0</v>
      </c>
      <c r="R48">
        <v>4</v>
      </c>
      <c r="S48">
        <v>5</v>
      </c>
      <c r="T48">
        <v>3</v>
      </c>
      <c r="U48">
        <v>0</v>
      </c>
      <c r="V48">
        <v>0</v>
      </c>
      <c r="W48">
        <v>266</v>
      </c>
      <c r="X48">
        <v>0</v>
      </c>
      <c r="Y48">
        <v>4</v>
      </c>
      <c r="Z48">
        <v>80</v>
      </c>
      <c r="AA48">
        <v>131</v>
      </c>
      <c r="AB48">
        <v>5</v>
      </c>
      <c r="AC48">
        <v>1</v>
      </c>
      <c r="AD48">
        <v>18</v>
      </c>
      <c r="AE48">
        <v>76</v>
      </c>
      <c r="AF48">
        <v>5</v>
      </c>
      <c r="AG48">
        <v>0</v>
      </c>
      <c r="AH48">
        <v>10</v>
      </c>
      <c r="AJ48">
        <f t="shared" si="2"/>
        <v>260</v>
      </c>
      <c r="AK48">
        <f t="shared" si="3"/>
        <v>21</v>
      </c>
      <c r="AL48">
        <f t="shared" si="4"/>
        <v>7</v>
      </c>
      <c r="AM48">
        <f t="shared" si="5"/>
        <v>95</v>
      </c>
      <c r="AO48">
        <f t="shared" si="6"/>
        <v>473</v>
      </c>
      <c r="AP48">
        <f t="shared" si="7"/>
        <v>10</v>
      </c>
      <c r="AQ48">
        <f t="shared" si="8"/>
        <v>5</v>
      </c>
      <c r="AR48">
        <f t="shared" si="9"/>
        <v>108</v>
      </c>
    </row>
    <row r="49" spans="1:44">
      <c r="A49" s="1">
        <v>46110.966307870367</v>
      </c>
      <c r="B49">
        <v>2881.95</v>
      </c>
      <c r="C49">
        <v>2053</v>
      </c>
      <c r="D49">
        <v>288</v>
      </c>
      <c r="E49">
        <v>19</v>
      </c>
      <c r="F49">
        <v>830</v>
      </c>
      <c r="G49">
        <v>933</v>
      </c>
      <c r="H49">
        <v>53</v>
      </c>
      <c r="I49">
        <v>42</v>
      </c>
      <c r="J49">
        <v>216</v>
      </c>
      <c r="K49">
        <v>252</v>
      </c>
      <c r="L49">
        <v>9</v>
      </c>
      <c r="M49">
        <v>7</v>
      </c>
      <c r="N49">
        <v>94</v>
      </c>
      <c r="O49">
        <v>13</v>
      </c>
      <c r="P49">
        <v>9</v>
      </c>
      <c r="Q49">
        <v>0</v>
      </c>
      <c r="R49">
        <v>4</v>
      </c>
      <c r="S49">
        <v>5</v>
      </c>
      <c r="T49">
        <v>3</v>
      </c>
      <c r="U49">
        <v>0</v>
      </c>
      <c r="V49">
        <v>0</v>
      </c>
      <c r="W49">
        <v>271</v>
      </c>
      <c r="X49">
        <v>0</v>
      </c>
      <c r="Y49">
        <v>4</v>
      </c>
      <c r="Z49">
        <v>81</v>
      </c>
      <c r="AA49">
        <v>137</v>
      </c>
      <c r="AB49">
        <v>5</v>
      </c>
      <c r="AC49">
        <v>1</v>
      </c>
      <c r="AD49">
        <v>18</v>
      </c>
      <c r="AE49">
        <v>78</v>
      </c>
      <c r="AF49">
        <v>5</v>
      </c>
      <c r="AG49">
        <v>0</v>
      </c>
      <c r="AH49">
        <v>10</v>
      </c>
      <c r="AJ49">
        <f t="shared" si="2"/>
        <v>270</v>
      </c>
      <c r="AK49">
        <f t="shared" si="3"/>
        <v>21</v>
      </c>
      <c r="AL49">
        <f t="shared" si="4"/>
        <v>7</v>
      </c>
      <c r="AM49">
        <f t="shared" si="5"/>
        <v>98</v>
      </c>
      <c r="AO49">
        <f t="shared" si="6"/>
        <v>486</v>
      </c>
      <c r="AP49">
        <f t="shared" si="7"/>
        <v>10</v>
      </c>
      <c r="AQ49">
        <f t="shared" si="8"/>
        <v>5</v>
      </c>
      <c r="AR49">
        <f t="shared" si="9"/>
        <v>109</v>
      </c>
    </row>
    <row r="50" spans="1:44">
      <c r="A50" s="1">
        <v>46110.968831018516</v>
      </c>
      <c r="B50">
        <v>2941.99</v>
      </c>
      <c r="C50">
        <v>2094</v>
      </c>
      <c r="D50">
        <v>289</v>
      </c>
      <c r="E50">
        <v>19</v>
      </c>
      <c r="F50">
        <v>851</v>
      </c>
      <c r="G50">
        <v>953</v>
      </c>
      <c r="H50">
        <v>54</v>
      </c>
      <c r="I50">
        <v>43</v>
      </c>
      <c r="J50">
        <v>222</v>
      </c>
      <c r="K50">
        <v>255</v>
      </c>
      <c r="L50">
        <v>9</v>
      </c>
      <c r="M50">
        <v>7</v>
      </c>
      <c r="N50">
        <v>95</v>
      </c>
      <c r="O50">
        <v>13</v>
      </c>
      <c r="P50">
        <v>9</v>
      </c>
      <c r="Q50">
        <v>0</v>
      </c>
      <c r="R50">
        <v>4</v>
      </c>
      <c r="S50">
        <v>5</v>
      </c>
      <c r="T50">
        <v>3</v>
      </c>
      <c r="U50">
        <v>0</v>
      </c>
      <c r="V50">
        <v>0</v>
      </c>
      <c r="W50">
        <v>274</v>
      </c>
      <c r="X50">
        <v>0</v>
      </c>
      <c r="Y50">
        <v>4</v>
      </c>
      <c r="Z50">
        <v>84</v>
      </c>
      <c r="AA50">
        <v>138</v>
      </c>
      <c r="AB50">
        <v>6</v>
      </c>
      <c r="AC50">
        <v>1</v>
      </c>
      <c r="AD50">
        <v>19</v>
      </c>
      <c r="AE50">
        <v>80</v>
      </c>
      <c r="AF50">
        <v>5</v>
      </c>
      <c r="AG50">
        <v>0</v>
      </c>
      <c r="AH50">
        <v>11</v>
      </c>
      <c r="AJ50">
        <f t="shared" si="2"/>
        <v>273</v>
      </c>
      <c r="AK50">
        <f t="shared" si="3"/>
        <v>21</v>
      </c>
      <c r="AL50">
        <f t="shared" si="4"/>
        <v>7</v>
      </c>
      <c r="AM50">
        <f t="shared" si="5"/>
        <v>99</v>
      </c>
      <c r="AO50">
        <f t="shared" si="6"/>
        <v>492</v>
      </c>
      <c r="AP50">
        <f t="shared" si="7"/>
        <v>11</v>
      </c>
      <c r="AQ50">
        <f t="shared" si="8"/>
        <v>5</v>
      </c>
      <c r="AR50">
        <f t="shared" si="9"/>
        <v>114</v>
      </c>
    </row>
    <row r="51" spans="1:44">
      <c r="A51" s="1">
        <v>46110.971342592595</v>
      </c>
      <c r="B51">
        <v>3002.03</v>
      </c>
      <c r="C51">
        <v>2140</v>
      </c>
      <c r="D51">
        <v>295</v>
      </c>
      <c r="E51">
        <v>19</v>
      </c>
      <c r="F51">
        <v>865</v>
      </c>
      <c r="G51">
        <v>972</v>
      </c>
      <c r="H51">
        <v>55</v>
      </c>
      <c r="I51">
        <v>45</v>
      </c>
      <c r="J51">
        <v>224</v>
      </c>
      <c r="K51">
        <v>261</v>
      </c>
      <c r="L51">
        <v>9</v>
      </c>
      <c r="M51">
        <v>7</v>
      </c>
      <c r="N51">
        <v>97</v>
      </c>
      <c r="O51">
        <v>13</v>
      </c>
      <c r="P51">
        <v>9</v>
      </c>
      <c r="Q51">
        <v>0</v>
      </c>
      <c r="R51">
        <v>4</v>
      </c>
      <c r="S51">
        <v>5</v>
      </c>
      <c r="T51">
        <v>3</v>
      </c>
      <c r="U51">
        <v>0</v>
      </c>
      <c r="V51">
        <v>0</v>
      </c>
      <c r="W51">
        <v>281</v>
      </c>
      <c r="X51">
        <v>0</v>
      </c>
      <c r="Y51">
        <v>4</v>
      </c>
      <c r="Z51">
        <v>87</v>
      </c>
      <c r="AA51">
        <v>141</v>
      </c>
      <c r="AB51">
        <v>6</v>
      </c>
      <c r="AC51">
        <v>1</v>
      </c>
      <c r="AD51">
        <v>21</v>
      </c>
      <c r="AE51">
        <v>80</v>
      </c>
      <c r="AF51">
        <v>5</v>
      </c>
      <c r="AG51">
        <v>0</v>
      </c>
      <c r="AH51">
        <v>11</v>
      </c>
      <c r="AJ51">
        <f t="shared" si="2"/>
        <v>279</v>
      </c>
      <c r="AK51">
        <f t="shared" si="3"/>
        <v>21</v>
      </c>
      <c r="AL51">
        <f t="shared" si="4"/>
        <v>7</v>
      </c>
      <c r="AM51">
        <f t="shared" si="5"/>
        <v>101</v>
      </c>
      <c r="AO51">
        <f t="shared" si="6"/>
        <v>502</v>
      </c>
      <c r="AP51">
        <f t="shared" si="7"/>
        <v>11</v>
      </c>
      <c r="AQ51">
        <f t="shared" si="8"/>
        <v>5</v>
      </c>
      <c r="AR51">
        <f t="shared" si="9"/>
        <v>119</v>
      </c>
    </row>
    <row r="52" spans="1:44">
      <c r="A52" s="1">
        <v>46110.974548611113</v>
      </c>
      <c r="B52">
        <v>3062.08</v>
      </c>
      <c r="C52">
        <v>2183</v>
      </c>
      <c r="D52">
        <v>302</v>
      </c>
      <c r="E52">
        <v>19</v>
      </c>
      <c r="F52">
        <v>877</v>
      </c>
      <c r="G52">
        <v>986</v>
      </c>
      <c r="H52">
        <v>56</v>
      </c>
      <c r="I52">
        <v>45</v>
      </c>
      <c r="J52">
        <v>229</v>
      </c>
      <c r="K52">
        <v>265</v>
      </c>
      <c r="L52">
        <v>10</v>
      </c>
      <c r="M52">
        <v>7</v>
      </c>
      <c r="N52">
        <v>99</v>
      </c>
      <c r="O52">
        <v>16</v>
      </c>
      <c r="P52">
        <v>9</v>
      </c>
      <c r="Q52">
        <v>0</v>
      </c>
      <c r="R52">
        <v>4</v>
      </c>
      <c r="S52">
        <v>5</v>
      </c>
      <c r="T52">
        <v>3</v>
      </c>
      <c r="U52">
        <v>0</v>
      </c>
      <c r="V52">
        <v>0</v>
      </c>
      <c r="W52">
        <v>286</v>
      </c>
      <c r="X52">
        <v>0</v>
      </c>
      <c r="Y52">
        <v>4</v>
      </c>
      <c r="Z52">
        <v>87</v>
      </c>
      <c r="AA52">
        <v>145</v>
      </c>
      <c r="AB52">
        <v>6</v>
      </c>
      <c r="AC52">
        <v>1</v>
      </c>
      <c r="AD52">
        <v>22</v>
      </c>
      <c r="AE52">
        <v>80</v>
      </c>
      <c r="AF52">
        <v>5</v>
      </c>
      <c r="AG52">
        <v>0</v>
      </c>
      <c r="AH52">
        <v>11</v>
      </c>
      <c r="AJ52">
        <f t="shared" si="2"/>
        <v>286</v>
      </c>
      <c r="AK52">
        <f t="shared" si="3"/>
        <v>22</v>
      </c>
      <c r="AL52">
        <f t="shared" si="4"/>
        <v>7</v>
      </c>
      <c r="AM52">
        <f t="shared" si="5"/>
        <v>103</v>
      </c>
      <c r="AO52">
        <f t="shared" si="6"/>
        <v>511</v>
      </c>
      <c r="AP52">
        <f t="shared" si="7"/>
        <v>11</v>
      </c>
      <c r="AQ52">
        <f t="shared" si="8"/>
        <v>5</v>
      </c>
      <c r="AR52">
        <f t="shared" si="9"/>
        <v>120</v>
      </c>
    </row>
    <row r="53" spans="1:44">
      <c r="A53" s="1">
        <v>46110.97824074074</v>
      </c>
      <c r="B53">
        <v>3122.12</v>
      </c>
      <c r="C53">
        <v>2228</v>
      </c>
      <c r="D53">
        <v>310</v>
      </c>
      <c r="E53">
        <v>20</v>
      </c>
      <c r="F53">
        <v>895</v>
      </c>
      <c r="G53">
        <v>1005</v>
      </c>
      <c r="H53">
        <v>57</v>
      </c>
      <c r="I53">
        <v>45</v>
      </c>
      <c r="J53">
        <v>230</v>
      </c>
      <c r="K53">
        <v>271</v>
      </c>
      <c r="L53">
        <v>10</v>
      </c>
      <c r="M53">
        <v>7</v>
      </c>
      <c r="N53">
        <v>99</v>
      </c>
      <c r="O53">
        <v>16</v>
      </c>
      <c r="P53">
        <v>9</v>
      </c>
      <c r="Q53">
        <v>0</v>
      </c>
      <c r="R53">
        <v>4</v>
      </c>
      <c r="S53">
        <v>5</v>
      </c>
      <c r="T53">
        <v>3</v>
      </c>
      <c r="U53">
        <v>0</v>
      </c>
      <c r="V53">
        <v>0</v>
      </c>
      <c r="W53">
        <v>290</v>
      </c>
      <c r="X53">
        <v>0</v>
      </c>
      <c r="Y53">
        <v>4</v>
      </c>
      <c r="Z53">
        <v>87</v>
      </c>
      <c r="AA53">
        <v>148</v>
      </c>
      <c r="AB53">
        <v>6</v>
      </c>
      <c r="AC53">
        <v>1</v>
      </c>
      <c r="AD53">
        <v>22</v>
      </c>
      <c r="AE53">
        <v>81</v>
      </c>
      <c r="AF53">
        <v>6</v>
      </c>
      <c r="AG53">
        <v>0</v>
      </c>
      <c r="AH53">
        <v>11</v>
      </c>
      <c r="AJ53">
        <f t="shared" si="2"/>
        <v>292</v>
      </c>
      <c r="AK53">
        <f t="shared" si="3"/>
        <v>22</v>
      </c>
      <c r="AL53">
        <f t="shared" si="4"/>
        <v>7</v>
      </c>
      <c r="AM53">
        <f t="shared" si="5"/>
        <v>103</v>
      </c>
      <c r="AO53">
        <f t="shared" si="6"/>
        <v>519</v>
      </c>
      <c r="AP53">
        <f t="shared" si="7"/>
        <v>12</v>
      </c>
      <c r="AQ53">
        <f t="shared" si="8"/>
        <v>5</v>
      </c>
      <c r="AR53">
        <f t="shared" si="9"/>
        <v>120</v>
      </c>
    </row>
    <row r="54" spans="1:44">
      <c r="A54" s="1">
        <v>46110.981307870374</v>
      </c>
      <c r="B54">
        <v>3182.16</v>
      </c>
      <c r="C54">
        <v>2260</v>
      </c>
      <c r="D54">
        <v>322</v>
      </c>
      <c r="E54">
        <v>20</v>
      </c>
      <c r="F54">
        <v>910</v>
      </c>
      <c r="G54">
        <v>1022</v>
      </c>
      <c r="H54">
        <v>58</v>
      </c>
      <c r="I54">
        <v>45</v>
      </c>
      <c r="J54">
        <v>233</v>
      </c>
      <c r="K54">
        <v>276</v>
      </c>
      <c r="L54">
        <v>10</v>
      </c>
      <c r="M54">
        <v>7</v>
      </c>
      <c r="N54">
        <v>99</v>
      </c>
      <c r="O54">
        <v>16</v>
      </c>
      <c r="P54">
        <v>9</v>
      </c>
      <c r="Q54">
        <v>0</v>
      </c>
      <c r="R54">
        <v>4</v>
      </c>
      <c r="S54">
        <v>5</v>
      </c>
      <c r="T54">
        <v>3</v>
      </c>
      <c r="U54">
        <v>0</v>
      </c>
      <c r="V54">
        <v>0</v>
      </c>
      <c r="W54">
        <v>296</v>
      </c>
      <c r="X54">
        <v>0</v>
      </c>
      <c r="Y54">
        <v>4</v>
      </c>
      <c r="Z54">
        <v>87</v>
      </c>
      <c r="AA54">
        <v>150</v>
      </c>
      <c r="AB54">
        <v>6</v>
      </c>
      <c r="AC54">
        <v>1</v>
      </c>
      <c r="AD54">
        <v>23</v>
      </c>
      <c r="AE54">
        <v>82</v>
      </c>
      <c r="AF54">
        <v>6</v>
      </c>
      <c r="AG54">
        <v>0</v>
      </c>
      <c r="AH54">
        <v>12</v>
      </c>
      <c r="AJ54">
        <f t="shared" si="2"/>
        <v>297</v>
      </c>
      <c r="AK54">
        <f t="shared" si="3"/>
        <v>22</v>
      </c>
      <c r="AL54">
        <f t="shared" si="4"/>
        <v>7</v>
      </c>
      <c r="AM54">
        <f t="shared" si="5"/>
        <v>103</v>
      </c>
      <c r="AO54">
        <f t="shared" si="6"/>
        <v>528</v>
      </c>
      <c r="AP54">
        <f t="shared" si="7"/>
        <v>12</v>
      </c>
      <c r="AQ54">
        <f t="shared" si="8"/>
        <v>5</v>
      </c>
      <c r="AR54">
        <f t="shared" si="9"/>
        <v>122</v>
      </c>
    </row>
    <row r="55" spans="1:44">
      <c r="A55" s="1">
        <v>46110.984953703701</v>
      </c>
      <c r="B55">
        <v>3242.2</v>
      </c>
      <c r="C55">
        <v>2299</v>
      </c>
      <c r="D55">
        <v>328</v>
      </c>
      <c r="E55">
        <v>21</v>
      </c>
      <c r="F55">
        <v>923</v>
      </c>
      <c r="G55">
        <v>1046</v>
      </c>
      <c r="H55">
        <v>58</v>
      </c>
      <c r="I55">
        <v>46</v>
      </c>
      <c r="J55">
        <v>238</v>
      </c>
      <c r="K55">
        <v>285</v>
      </c>
      <c r="L55">
        <v>10</v>
      </c>
      <c r="M55">
        <v>7</v>
      </c>
      <c r="N55">
        <v>100</v>
      </c>
      <c r="O55">
        <v>16</v>
      </c>
      <c r="P55">
        <v>9</v>
      </c>
      <c r="Q55">
        <v>0</v>
      </c>
      <c r="R55">
        <v>4</v>
      </c>
      <c r="S55">
        <v>5</v>
      </c>
      <c r="T55">
        <v>3</v>
      </c>
      <c r="U55">
        <v>0</v>
      </c>
      <c r="V55">
        <v>0</v>
      </c>
      <c r="W55">
        <v>302</v>
      </c>
      <c r="X55">
        <v>0</v>
      </c>
      <c r="Y55">
        <v>4</v>
      </c>
      <c r="Z55">
        <v>90</v>
      </c>
      <c r="AA55">
        <v>159</v>
      </c>
      <c r="AB55">
        <v>6</v>
      </c>
      <c r="AC55">
        <v>1</v>
      </c>
      <c r="AD55">
        <v>24</v>
      </c>
      <c r="AE55">
        <v>84</v>
      </c>
      <c r="AF55">
        <v>6</v>
      </c>
      <c r="AG55">
        <v>0</v>
      </c>
      <c r="AH55">
        <v>12</v>
      </c>
      <c r="AJ55">
        <f t="shared" si="2"/>
        <v>306</v>
      </c>
      <c r="AK55">
        <f t="shared" si="3"/>
        <v>22</v>
      </c>
      <c r="AL55">
        <f t="shared" si="4"/>
        <v>7</v>
      </c>
      <c r="AM55">
        <f t="shared" si="5"/>
        <v>104</v>
      </c>
      <c r="AO55">
        <f t="shared" si="6"/>
        <v>545</v>
      </c>
      <c r="AP55">
        <f t="shared" si="7"/>
        <v>12</v>
      </c>
      <c r="AQ55">
        <f t="shared" si="8"/>
        <v>5</v>
      </c>
      <c r="AR55">
        <f t="shared" si="9"/>
        <v>126</v>
      </c>
    </row>
    <row r="56" spans="1:44">
      <c r="A56" s="1">
        <v>46110.988807870373</v>
      </c>
      <c r="B56">
        <v>3302.24</v>
      </c>
      <c r="C56">
        <v>2327</v>
      </c>
      <c r="D56">
        <v>330</v>
      </c>
      <c r="E56">
        <v>21</v>
      </c>
      <c r="F56">
        <v>929</v>
      </c>
      <c r="G56">
        <v>1065</v>
      </c>
      <c r="H56">
        <v>61</v>
      </c>
      <c r="I56">
        <v>47</v>
      </c>
      <c r="J56">
        <v>241</v>
      </c>
      <c r="K56">
        <v>287</v>
      </c>
      <c r="L56">
        <v>10</v>
      </c>
      <c r="M56">
        <v>8</v>
      </c>
      <c r="N56">
        <v>101</v>
      </c>
      <c r="O56">
        <v>16</v>
      </c>
      <c r="P56">
        <v>9</v>
      </c>
      <c r="Q56">
        <v>0</v>
      </c>
      <c r="R56">
        <v>4</v>
      </c>
      <c r="S56">
        <v>5</v>
      </c>
      <c r="T56">
        <v>3</v>
      </c>
      <c r="U56">
        <v>0</v>
      </c>
      <c r="V56">
        <v>0</v>
      </c>
      <c r="W56">
        <v>313</v>
      </c>
      <c r="X56">
        <v>0</v>
      </c>
      <c r="Y56">
        <v>4</v>
      </c>
      <c r="Z56">
        <v>91</v>
      </c>
      <c r="AA56">
        <v>162</v>
      </c>
      <c r="AB56">
        <v>7</v>
      </c>
      <c r="AC56">
        <v>1</v>
      </c>
      <c r="AD56">
        <v>24</v>
      </c>
      <c r="AE56">
        <v>85</v>
      </c>
      <c r="AF56">
        <v>6</v>
      </c>
      <c r="AG56">
        <v>0</v>
      </c>
      <c r="AH56">
        <v>12</v>
      </c>
      <c r="AJ56">
        <f t="shared" si="2"/>
        <v>308</v>
      </c>
      <c r="AK56">
        <f t="shared" si="3"/>
        <v>22</v>
      </c>
      <c r="AL56">
        <f t="shared" si="4"/>
        <v>8</v>
      </c>
      <c r="AM56">
        <f t="shared" si="5"/>
        <v>105</v>
      </c>
      <c r="AO56">
        <f t="shared" si="6"/>
        <v>560</v>
      </c>
      <c r="AP56">
        <f t="shared" si="7"/>
        <v>13</v>
      </c>
      <c r="AQ56">
        <f t="shared" si="8"/>
        <v>5</v>
      </c>
      <c r="AR56">
        <f t="shared" si="9"/>
        <v>127</v>
      </c>
    </row>
    <row r="57" spans="1:44">
      <c r="A57" s="1">
        <v>46110.992303240739</v>
      </c>
      <c r="B57">
        <v>3362.28</v>
      </c>
      <c r="C57">
        <v>2364</v>
      </c>
      <c r="D57">
        <v>339</v>
      </c>
      <c r="E57">
        <v>21</v>
      </c>
      <c r="F57">
        <v>943</v>
      </c>
      <c r="G57">
        <v>1080</v>
      </c>
      <c r="H57">
        <v>61</v>
      </c>
      <c r="I57">
        <v>47</v>
      </c>
      <c r="J57">
        <v>249</v>
      </c>
      <c r="K57">
        <v>293</v>
      </c>
      <c r="L57">
        <v>10</v>
      </c>
      <c r="M57">
        <v>8</v>
      </c>
      <c r="N57">
        <v>103</v>
      </c>
      <c r="O57">
        <v>16</v>
      </c>
      <c r="P57">
        <v>9</v>
      </c>
      <c r="Q57">
        <v>0</v>
      </c>
      <c r="R57">
        <v>4</v>
      </c>
      <c r="S57">
        <v>5</v>
      </c>
      <c r="T57">
        <v>3</v>
      </c>
      <c r="U57">
        <v>0</v>
      </c>
      <c r="V57">
        <v>0</v>
      </c>
      <c r="W57">
        <v>314</v>
      </c>
      <c r="X57">
        <v>0</v>
      </c>
      <c r="Y57">
        <v>4</v>
      </c>
      <c r="Z57">
        <v>93</v>
      </c>
      <c r="AA57">
        <v>170</v>
      </c>
      <c r="AB57">
        <v>7</v>
      </c>
      <c r="AC57">
        <v>1</v>
      </c>
      <c r="AD57">
        <v>25</v>
      </c>
      <c r="AE57">
        <v>85</v>
      </c>
      <c r="AF57">
        <v>6</v>
      </c>
      <c r="AG57">
        <v>0</v>
      </c>
      <c r="AH57">
        <v>12</v>
      </c>
      <c r="AJ57">
        <f t="shared" si="2"/>
        <v>314</v>
      </c>
      <c r="AK57">
        <f t="shared" si="3"/>
        <v>22</v>
      </c>
      <c r="AL57">
        <f t="shared" si="4"/>
        <v>8</v>
      </c>
      <c r="AM57">
        <f t="shared" si="5"/>
        <v>107</v>
      </c>
      <c r="AO57">
        <f t="shared" si="6"/>
        <v>569</v>
      </c>
      <c r="AP57">
        <f t="shared" si="7"/>
        <v>13</v>
      </c>
      <c r="AQ57">
        <f t="shared" si="8"/>
        <v>5</v>
      </c>
      <c r="AR57">
        <f t="shared" si="9"/>
        <v>130</v>
      </c>
    </row>
    <row r="58" spans="1:44">
      <c r="A58" s="1">
        <v>46110.99554398148</v>
      </c>
      <c r="B58">
        <v>3422.32</v>
      </c>
      <c r="C58">
        <v>2413</v>
      </c>
      <c r="D58">
        <v>344</v>
      </c>
      <c r="E58">
        <v>21</v>
      </c>
      <c r="F58">
        <v>954</v>
      </c>
      <c r="G58">
        <v>1103</v>
      </c>
      <c r="H58">
        <v>63</v>
      </c>
      <c r="I58">
        <v>47</v>
      </c>
      <c r="J58">
        <v>255</v>
      </c>
      <c r="K58">
        <v>297</v>
      </c>
      <c r="L58">
        <v>10</v>
      </c>
      <c r="M58">
        <v>8</v>
      </c>
      <c r="N58">
        <v>106</v>
      </c>
      <c r="O58">
        <v>17</v>
      </c>
      <c r="P58">
        <v>9</v>
      </c>
      <c r="Q58">
        <v>0</v>
      </c>
      <c r="R58">
        <v>4</v>
      </c>
      <c r="S58">
        <v>5</v>
      </c>
      <c r="T58">
        <v>5</v>
      </c>
      <c r="U58">
        <v>0</v>
      </c>
      <c r="V58">
        <v>0</v>
      </c>
      <c r="W58">
        <v>320</v>
      </c>
      <c r="X58">
        <v>0</v>
      </c>
      <c r="Y58">
        <v>4</v>
      </c>
      <c r="Z58">
        <v>94</v>
      </c>
      <c r="AA58">
        <v>176</v>
      </c>
      <c r="AB58">
        <v>7</v>
      </c>
      <c r="AC58">
        <v>1</v>
      </c>
      <c r="AD58">
        <v>25</v>
      </c>
      <c r="AE58">
        <v>88</v>
      </c>
      <c r="AF58">
        <v>6</v>
      </c>
      <c r="AG58">
        <v>0</v>
      </c>
      <c r="AH58">
        <v>14</v>
      </c>
      <c r="AJ58">
        <f t="shared" si="2"/>
        <v>319</v>
      </c>
      <c r="AK58">
        <f t="shared" si="3"/>
        <v>24</v>
      </c>
      <c r="AL58">
        <f t="shared" si="4"/>
        <v>8</v>
      </c>
      <c r="AM58">
        <f t="shared" si="5"/>
        <v>110</v>
      </c>
      <c r="AO58">
        <f t="shared" si="6"/>
        <v>584</v>
      </c>
      <c r="AP58">
        <f t="shared" si="7"/>
        <v>13</v>
      </c>
      <c r="AQ58">
        <f t="shared" si="8"/>
        <v>5</v>
      </c>
      <c r="AR58">
        <f t="shared" si="9"/>
        <v>133</v>
      </c>
    </row>
    <row r="59" spans="1:44">
      <c r="A59" s="1">
        <v>46110.998865740738</v>
      </c>
      <c r="B59">
        <v>3482.36</v>
      </c>
      <c r="C59">
        <v>2450</v>
      </c>
      <c r="D59">
        <v>356</v>
      </c>
      <c r="E59">
        <v>21</v>
      </c>
      <c r="F59">
        <v>969</v>
      </c>
      <c r="G59">
        <v>1126</v>
      </c>
      <c r="H59">
        <v>63</v>
      </c>
      <c r="I59">
        <v>47</v>
      </c>
      <c r="J59">
        <v>257</v>
      </c>
      <c r="K59">
        <v>302</v>
      </c>
      <c r="L59">
        <v>10</v>
      </c>
      <c r="M59">
        <v>8</v>
      </c>
      <c r="N59">
        <v>107</v>
      </c>
      <c r="O59">
        <v>17</v>
      </c>
      <c r="P59">
        <v>9</v>
      </c>
      <c r="Q59">
        <v>0</v>
      </c>
      <c r="R59">
        <v>4</v>
      </c>
      <c r="S59">
        <v>5</v>
      </c>
      <c r="T59">
        <v>5</v>
      </c>
      <c r="U59">
        <v>0</v>
      </c>
      <c r="V59">
        <v>0</v>
      </c>
      <c r="W59">
        <v>324</v>
      </c>
      <c r="X59">
        <v>0</v>
      </c>
      <c r="Y59">
        <v>4</v>
      </c>
      <c r="Z59">
        <v>94</v>
      </c>
      <c r="AA59">
        <v>182</v>
      </c>
      <c r="AB59">
        <v>7</v>
      </c>
      <c r="AC59">
        <v>1</v>
      </c>
      <c r="AD59">
        <v>26</v>
      </c>
      <c r="AE59">
        <v>89</v>
      </c>
      <c r="AF59">
        <v>6</v>
      </c>
      <c r="AG59">
        <v>0</v>
      </c>
      <c r="AH59">
        <v>15</v>
      </c>
      <c r="AJ59">
        <f t="shared" si="2"/>
        <v>324</v>
      </c>
      <c r="AK59">
        <f t="shared" si="3"/>
        <v>24</v>
      </c>
      <c r="AL59">
        <f t="shared" si="4"/>
        <v>8</v>
      </c>
      <c r="AM59">
        <f t="shared" si="5"/>
        <v>111</v>
      </c>
      <c r="AO59">
        <f t="shared" si="6"/>
        <v>595</v>
      </c>
      <c r="AP59">
        <f t="shared" si="7"/>
        <v>13</v>
      </c>
      <c r="AQ59">
        <f t="shared" si="8"/>
        <v>5</v>
      </c>
      <c r="AR59">
        <f t="shared" si="9"/>
        <v>135</v>
      </c>
    </row>
    <row r="60" spans="1:44">
      <c r="A60" s="1">
        <v>46111.002152777779</v>
      </c>
      <c r="B60">
        <v>3542.4</v>
      </c>
      <c r="C60">
        <v>2497</v>
      </c>
      <c r="D60">
        <v>359</v>
      </c>
      <c r="E60">
        <v>21</v>
      </c>
      <c r="F60">
        <v>977</v>
      </c>
      <c r="G60">
        <v>1146</v>
      </c>
      <c r="H60">
        <v>63</v>
      </c>
      <c r="I60">
        <v>51</v>
      </c>
      <c r="J60">
        <v>267</v>
      </c>
      <c r="K60">
        <v>308</v>
      </c>
      <c r="L60">
        <v>10</v>
      </c>
      <c r="M60">
        <v>8</v>
      </c>
      <c r="N60">
        <v>107</v>
      </c>
      <c r="O60">
        <v>18</v>
      </c>
      <c r="P60">
        <v>9</v>
      </c>
      <c r="Q60">
        <v>0</v>
      </c>
      <c r="R60">
        <v>4</v>
      </c>
      <c r="S60">
        <v>5</v>
      </c>
      <c r="T60">
        <v>5</v>
      </c>
      <c r="U60">
        <v>0</v>
      </c>
      <c r="V60">
        <v>0</v>
      </c>
      <c r="W60">
        <v>328</v>
      </c>
      <c r="X60">
        <v>0</v>
      </c>
      <c r="Y60">
        <v>4</v>
      </c>
      <c r="Z60">
        <v>96</v>
      </c>
      <c r="AA60">
        <v>185</v>
      </c>
      <c r="AB60">
        <v>7</v>
      </c>
      <c r="AC60">
        <v>1</v>
      </c>
      <c r="AD60">
        <v>29</v>
      </c>
      <c r="AE60">
        <v>91</v>
      </c>
      <c r="AF60">
        <v>6</v>
      </c>
      <c r="AG60">
        <v>0</v>
      </c>
      <c r="AH60">
        <v>15</v>
      </c>
      <c r="AJ60">
        <f t="shared" si="2"/>
        <v>331</v>
      </c>
      <c r="AK60">
        <f t="shared" si="3"/>
        <v>24</v>
      </c>
      <c r="AL60">
        <f t="shared" si="4"/>
        <v>8</v>
      </c>
      <c r="AM60">
        <f t="shared" si="5"/>
        <v>111</v>
      </c>
      <c r="AO60">
        <f t="shared" si="6"/>
        <v>604</v>
      </c>
      <c r="AP60">
        <f t="shared" si="7"/>
        <v>13</v>
      </c>
      <c r="AQ60">
        <f t="shared" si="8"/>
        <v>5</v>
      </c>
      <c r="AR60">
        <f t="shared" si="9"/>
        <v>140</v>
      </c>
    </row>
    <row r="61" spans="1:44">
      <c r="A61" s="1">
        <v>46111.005486111113</v>
      </c>
      <c r="B61">
        <v>3602.44</v>
      </c>
      <c r="C61">
        <v>2538</v>
      </c>
      <c r="D61">
        <v>364</v>
      </c>
      <c r="E61">
        <v>22</v>
      </c>
      <c r="F61">
        <v>998</v>
      </c>
      <c r="G61">
        <v>1163</v>
      </c>
      <c r="H61">
        <v>64</v>
      </c>
      <c r="I61">
        <v>53</v>
      </c>
      <c r="J61">
        <v>270</v>
      </c>
      <c r="K61">
        <v>315</v>
      </c>
      <c r="L61">
        <v>10</v>
      </c>
      <c r="M61">
        <v>8</v>
      </c>
      <c r="N61">
        <v>107</v>
      </c>
      <c r="O61">
        <v>18</v>
      </c>
      <c r="P61">
        <v>9</v>
      </c>
      <c r="Q61">
        <v>0</v>
      </c>
      <c r="R61">
        <v>4</v>
      </c>
      <c r="S61">
        <v>5</v>
      </c>
      <c r="T61">
        <v>5</v>
      </c>
      <c r="U61">
        <v>0</v>
      </c>
      <c r="V61">
        <v>0</v>
      </c>
      <c r="W61">
        <v>333</v>
      </c>
      <c r="X61">
        <v>0</v>
      </c>
      <c r="Y61">
        <v>6</v>
      </c>
      <c r="Z61">
        <v>97</v>
      </c>
      <c r="AA61">
        <v>188</v>
      </c>
      <c r="AB61">
        <v>7</v>
      </c>
      <c r="AC61">
        <v>1</v>
      </c>
      <c r="AD61">
        <v>29</v>
      </c>
      <c r="AE61">
        <v>91</v>
      </c>
      <c r="AF61">
        <v>6</v>
      </c>
      <c r="AG61">
        <v>0</v>
      </c>
      <c r="AH61">
        <v>15</v>
      </c>
      <c r="AJ61">
        <f t="shared" si="2"/>
        <v>338</v>
      </c>
      <c r="AK61">
        <f t="shared" si="3"/>
        <v>24</v>
      </c>
      <c r="AL61">
        <f t="shared" si="4"/>
        <v>8</v>
      </c>
      <c r="AM61">
        <f t="shared" si="5"/>
        <v>111</v>
      </c>
      <c r="AO61">
        <f t="shared" si="6"/>
        <v>612</v>
      </c>
      <c r="AP61">
        <f t="shared" si="7"/>
        <v>13</v>
      </c>
      <c r="AQ61">
        <f t="shared" si="8"/>
        <v>7</v>
      </c>
      <c r="AR61">
        <f t="shared" si="9"/>
        <v>141</v>
      </c>
    </row>
    <row r="62" spans="1:44">
      <c r="A62" s="1">
        <v>46111.009108796294</v>
      </c>
      <c r="B62">
        <v>3662.48</v>
      </c>
      <c r="C62">
        <v>2587</v>
      </c>
      <c r="D62">
        <v>370</v>
      </c>
      <c r="E62">
        <v>23</v>
      </c>
      <c r="F62">
        <v>1017</v>
      </c>
      <c r="G62">
        <v>1178</v>
      </c>
      <c r="H62">
        <v>64</v>
      </c>
      <c r="I62">
        <v>56</v>
      </c>
      <c r="J62">
        <v>273</v>
      </c>
      <c r="K62">
        <v>317</v>
      </c>
      <c r="L62">
        <v>10</v>
      </c>
      <c r="M62">
        <v>8</v>
      </c>
      <c r="N62">
        <v>107</v>
      </c>
      <c r="O62">
        <v>18</v>
      </c>
      <c r="P62">
        <v>9</v>
      </c>
      <c r="Q62">
        <v>0</v>
      </c>
      <c r="R62">
        <v>4</v>
      </c>
      <c r="S62">
        <v>8</v>
      </c>
      <c r="T62">
        <v>5</v>
      </c>
      <c r="U62">
        <v>0</v>
      </c>
      <c r="V62">
        <v>1</v>
      </c>
      <c r="W62">
        <v>337</v>
      </c>
      <c r="X62">
        <v>0</v>
      </c>
      <c r="Y62">
        <v>6</v>
      </c>
      <c r="Z62">
        <v>98</v>
      </c>
      <c r="AA62">
        <v>193</v>
      </c>
      <c r="AB62">
        <v>7</v>
      </c>
      <c r="AC62">
        <v>1</v>
      </c>
      <c r="AD62">
        <v>29</v>
      </c>
      <c r="AE62">
        <v>91</v>
      </c>
      <c r="AF62">
        <v>6</v>
      </c>
      <c r="AG62">
        <v>0</v>
      </c>
      <c r="AH62">
        <v>15</v>
      </c>
      <c r="AJ62">
        <f t="shared" si="2"/>
        <v>343</v>
      </c>
      <c r="AK62">
        <f t="shared" si="3"/>
        <v>24</v>
      </c>
      <c r="AL62">
        <f t="shared" si="4"/>
        <v>8</v>
      </c>
      <c r="AM62">
        <f t="shared" si="5"/>
        <v>112</v>
      </c>
      <c r="AO62">
        <f t="shared" si="6"/>
        <v>621</v>
      </c>
      <c r="AP62">
        <f t="shared" si="7"/>
        <v>13</v>
      </c>
      <c r="AQ62">
        <f t="shared" si="8"/>
        <v>7</v>
      </c>
      <c r="AR62">
        <f t="shared" si="9"/>
        <v>142</v>
      </c>
    </row>
    <row r="63" spans="1:44">
      <c r="A63" s="1">
        <v>46111.012731481482</v>
      </c>
      <c r="B63">
        <v>3722.52</v>
      </c>
      <c r="C63">
        <v>2640</v>
      </c>
      <c r="D63">
        <v>381</v>
      </c>
      <c r="E63">
        <v>24</v>
      </c>
      <c r="F63">
        <v>1033</v>
      </c>
      <c r="G63">
        <v>1195</v>
      </c>
      <c r="H63">
        <v>67</v>
      </c>
      <c r="I63">
        <v>56</v>
      </c>
      <c r="J63">
        <v>278</v>
      </c>
      <c r="K63">
        <v>321</v>
      </c>
      <c r="L63">
        <v>11</v>
      </c>
      <c r="M63">
        <v>8</v>
      </c>
      <c r="N63">
        <v>110</v>
      </c>
      <c r="O63">
        <v>18</v>
      </c>
      <c r="P63">
        <v>9</v>
      </c>
      <c r="Q63">
        <v>0</v>
      </c>
      <c r="R63">
        <v>4</v>
      </c>
      <c r="S63">
        <v>8</v>
      </c>
      <c r="T63">
        <v>5</v>
      </c>
      <c r="U63">
        <v>0</v>
      </c>
      <c r="V63">
        <v>1</v>
      </c>
      <c r="W63">
        <v>344</v>
      </c>
      <c r="X63">
        <v>0</v>
      </c>
      <c r="Y63">
        <v>7</v>
      </c>
      <c r="Z63">
        <v>100</v>
      </c>
      <c r="AA63">
        <v>196</v>
      </c>
      <c r="AB63">
        <v>7</v>
      </c>
      <c r="AC63">
        <v>1</v>
      </c>
      <c r="AD63">
        <v>29</v>
      </c>
      <c r="AE63">
        <v>93</v>
      </c>
      <c r="AF63">
        <v>6</v>
      </c>
      <c r="AG63">
        <v>0</v>
      </c>
      <c r="AH63">
        <v>15</v>
      </c>
      <c r="AJ63">
        <f t="shared" si="2"/>
        <v>347</v>
      </c>
      <c r="AK63">
        <f t="shared" si="3"/>
        <v>25</v>
      </c>
      <c r="AL63">
        <f t="shared" si="4"/>
        <v>8</v>
      </c>
      <c r="AM63">
        <f t="shared" si="5"/>
        <v>115</v>
      </c>
      <c r="AO63">
        <f t="shared" si="6"/>
        <v>633</v>
      </c>
      <c r="AP63">
        <f t="shared" si="7"/>
        <v>13</v>
      </c>
      <c r="AQ63">
        <f t="shared" si="8"/>
        <v>8</v>
      </c>
      <c r="AR63">
        <f t="shared" si="9"/>
        <v>144</v>
      </c>
    </row>
    <row r="64" spans="1:44">
      <c r="A64" s="1">
        <v>46111.015949074077</v>
      </c>
      <c r="B64">
        <v>3782.56</v>
      </c>
      <c r="C64">
        <v>2675</v>
      </c>
      <c r="D64">
        <v>388</v>
      </c>
      <c r="E64">
        <v>25</v>
      </c>
      <c r="F64">
        <v>1051</v>
      </c>
      <c r="G64">
        <v>1210</v>
      </c>
      <c r="H64">
        <v>68</v>
      </c>
      <c r="I64">
        <v>57</v>
      </c>
      <c r="J64">
        <v>282</v>
      </c>
      <c r="K64">
        <v>327</v>
      </c>
      <c r="L64">
        <v>11</v>
      </c>
      <c r="M64">
        <v>8</v>
      </c>
      <c r="N64">
        <v>113</v>
      </c>
      <c r="O64">
        <v>18</v>
      </c>
      <c r="P64">
        <v>9</v>
      </c>
      <c r="Q64">
        <v>0</v>
      </c>
      <c r="R64">
        <v>4</v>
      </c>
      <c r="S64">
        <v>9</v>
      </c>
      <c r="T64">
        <v>5</v>
      </c>
      <c r="U64">
        <v>0</v>
      </c>
      <c r="V64">
        <v>1</v>
      </c>
      <c r="W64">
        <v>350</v>
      </c>
      <c r="X64">
        <v>0</v>
      </c>
      <c r="Y64">
        <v>7</v>
      </c>
      <c r="Z64">
        <v>104</v>
      </c>
      <c r="AA64">
        <v>198</v>
      </c>
      <c r="AB64">
        <v>7</v>
      </c>
      <c r="AC64">
        <v>1</v>
      </c>
      <c r="AD64">
        <v>29</v>
      </c>
      <c r="AE64">
        <v>93</v>
      </c>
      <c r="AF64">
        <v>6</v>
      </c>
      <c r="AG64">
        <v>0</v>
      </c>
      <c r="AH64">
        <v>15</v>
      </c>
      <c r="AJ64">
        <f t="shared" si="2"/>
        <v>354</v>
      </c>
      <c r="AK64">
        <f t="shared" si="3"/>
        <v>25</v>
      </c>
      <c r="AL64">
        <f t="shared" si="4"/>
        <v>8</v>
      </c>
      <c r="AM64">
        <f t="shared" si="5"/>
        <v>118</v>
      </c>
      <c r="AO64">
        <f t="shared" si="6"/>
        <v>641</v>
      </c>
      <c r="AP64">
        <f t="shared" si="7"/>
        <v>13</v>
      </c>
      <c r="AQ64">
        <f t="shared" si="8"/>
        <v>8</v>
      </c>
      <c r="AR64">
        <f t="shared" si="9"/>
        <v>148</v>
      </c>
    </row>
    <row r="65" spans="1:1">
      <c r="A65" s="1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64"/>
  <sheetViews>
    <sheetView topLeftCell="X15" workbookViewId="0">
      <selection activeCell="AE2" sqref="AE2"/>
    </sheetView>
  </sheetViews>
  <sheetFormatPr defaultRowHeight="16.149999999999999"/>
  <sheetData>
    <row r="1" spans="1:39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</row>
    <row r="2" spans="1:39">
      <c r="A2">
        <v>60.04</v>
      </c>
      <c r="B2">
        <v>36</v>
      </c>
      <c r="C2">
        <v>9</v>
      </c>
      <c r="D2">
        <v>0</v>
      </c>
      <c r="E2">
        <v>13</v>
      </c>
      <c r="F2">
        <v>14</v>
      </c>
      <c r="G2">
        <v>1</v>
      </c>
      <c r="H2">
        <v>1</v>
      </c>
      <c r="I2">
        <v>5</v>
      </c>
      <c r="K2">
        <v>5</v>
      </c>
      <c r="L2">
        <v>0</v>
      </c>
      <c r="M2">
        <v>0</v>
      </c>
      <c r="N2">
        <v>1</v>
      </c>
      <c r="P2">
        <v>11</v>
      </c>
      <c r="Q2">
        <v>0</v>
      </c>
      <c r="R2">
        <v>0</v>
      </c>
      <c r="S2">
        <v>2</v>
      </c>
      <c r="U2">
        <f>B2-K2+P2</f>
        <v>42</v>
      </c>
      <c r="V2">
        <f t="shared" ref="V2:X2" si="0">C2-L2+Q2</f>
        <v>9</v>
      </c>
      <c r="W2">
        <f t="shared" si="0"/>
        <v>0</v>
      </c>
      <c r="X2">
        <f t="shared" si="0"/>
        <v>14</v>
      </c>
      <c r="Z2">
        <f>F2+K2-P2</f>
        <v>8</v>
      </c>
      <c r="AA2">
        <f t="shared" ref="AA2:AC2" si="1">G2+L2-Q2</f>
        <v>1</v>
      </c>
      <c r="AB2">
        <f t="shared" si="1"/>
        <v>1</v>
      </c>
      <c r="AC2">
        <f t="shared" si="1"/>
        <v>4</v>
      </c>
      <c r="AE2">
        <f>U2-U1</f>
        <v>42</v>
      </c>
      <c r="AF2">
        <f t="shared" ref="AF2:AM2" si="2">V2-V1</f>
        <v>9</v>
      </c>
      <c r="AG2">
        <f t="shared" si="2"/>
        <v>0</v>
      </c>
      <c r="AH2">
        <f t="shared" si="2"/>
        <v>14</v>
      </c>
      <c r="AJ2">
        <f t="shared" si="2"/>
        <v>8</v>
      </c>
      <c r="AK2">
        <f t="shared" si="2"/>
        <v>1</v>
      </c>
      <c r="AL2">
        <f t="shared" si="2"/>
        <v>1</v>
      </c>
      <c r="AM2">
        <f t="shared" si="2"/>
        <v>4</v>
      </c>
    </row>
    <row r="3" spans="1:39">
      <c r="A3">
        <v>120.08</v>
      </c>
      <c r="B3">
        <v>73</v>
      </c>
      <c r="C3">
        <v>11</v>
      </c>
      <c r="D3">
        <v>0</v>
      </c>
      <c r="E3">
        <v>26</v>
      </c>
      <c r="F3">
        <v>34</v>
      </c>
      <c r="G3">
        <v>2</v>
      </c>
      <c r="H3">
        <v>1</v>
      </c>
      <c r="I3">
        <v>9</v>
      </c>
      <c r="K3">
        <v>11</v>
      </c>
      <c r="L3">
        <v>1</v>
      </c>
      <c r="M3">
        <v>0</v>
      </c>
      <c r="N3">
        <v>4</v>
      </c>
      <c r="P3">
        <v>19</v>
      </c>
      <c r="Q3">
        <v>0</v>
      </c>
      <c r="R3">
        <v>0</v>
      </c>
      <c r="S3">
        <v>6</v>
      </c>
      <c r="U3">
        <f t="shared" ref="U3:U64" si="3">B3-K3+P3</f>
        <v>81</v>
      </c>
      <c r="V3">
        <f t="shared" ref="V3:V64" si="4">C3-L3+Q3</f>
        <v>10</v>
      </c>
      <c r="W3">
        <f t="shared" ref="W3:W64" si="5">D3-M3+R3</f>
        <v>0</v>
      </c>
      <c r="X3">
        <f t="shared" ref="X3:X64" si="6">E3-N3+S3</f>
        <v>28</v>
      </c>
      <c r="Z3">
        <f>F3+K3-P3</f>
        <v>26</v>
      </c>
      <c r="AA3">
        <f t="shared" ref="AA3:AA64" si="7">G3+L3-Q3</f>
        <v>3</v>
      </c>
      <c r="AB3">
        <f t="shared" ref="AB3:AB64" si="8">H3+M3-R3</f>
        <v>1</v>
      </c>
      <c r="AC3">
        <f t="shared" ref="AC3:AC64" si="9">I3+N3-S3</f>
        <v>7</v>
      </c>
      <c r="AE3">
        <f t="shared" ref="AE3:AE64" si="10">U3-U2</f>
        <v>39</v>
      </c>
      <c r="AF3">
        <f t="shared" ref="AF3:AF64" si="11">V3-V2</f>
        <v>1</v>
      </c>
      <c r="AG3">
        <f t="shared" ref="AG3:AG64" si="12">W3-W2</f>
        <v>0</v>
      </c>
      <c r="AH3">
        <f t="shared" ref="AH3:AH64" si="13">X3-X2</f>
        <v>14</v>
      </c>
      <c r="AJ3">
        <f t="shared" ref="AJ3:AJ64" si="14">Z3-Z2</f>
        <v>18</v>
      </c>
      <c r="AK3">
        <f t="shared" ref="AK3:AK64" si="15">AA3-AA2</f>
        <v>2</v>
      </c>
      <c r="AL3">
        <f t="shared" ref="AL3:AL64" si="16">AB3-AB2</f>
        <v>0</v>
      </c>
      <c r="AM3">
        <f t="shared" ref="AM3:AM64" si="17">AC3-AC2</f>
        <v>3</v>
      </c>
    </row>
    <row r="4" spans="1:39">
      <c r="A4">
        <v>180.12</v>
      </c>
      <c r="B4">
        <v>98</v>
      </c>
      <c r="C4">
        <v>16</v>
      </c>
      <c r="D4">
        <v>0</v>
      </c>
      <c r="E4">
        <v>44</v>
      </c>
      <c r="F4">
        <v>51</v>
      </c>
      <c r="G4">
        <v>2</v>
      </c>
      <c r="H4">
        <v>2</v>
      </c>
      <c r="I4">
        <v>15</v>
      </c>
      <c r="K4">
        <v>19</v>
      </c>
      <c r="L4">
        <v>1</v>
      </c>
      <c r="M4">
        <v>0</v>
      </c>
      <c r="N4">
        <v>7</v>
      </c>
      <c r="P4">
        <v>31</v>
      </c>
      <c r="Q4">
        <v>0</v>
      </c>
      <c r="R4">
        <v>0</v>
      </c>
      <c r="S4">
        <v>8</v>
      </c>
      <c r="U4">
        <f t="shared" si="3"/>
        <v>110</v>
      </c>
      <c r="V4">
        <f t="shared" si="4"/>
        <v>15</v>
      </c>
      <c r="W4">
        <f t="shared" si="5"/>
        <v>0</v>
      </c>
      <c r="X4">
        <f t="shared" si="6"/>
        <v>45</v>
      </c>
      <c r="Z4">
        <f>F4+K4-P4</f>
        <v>39</v>
      </c>
      <c r="AA4">
        <f t="shared" si="7"/>
        <v>3</v>
      </c>
      <c r="AB4">
        <f t="shared" si="8"/>
        <v>2</v>
      </c>
      <c r="AC4">
        <f t="shared" si="9"/>
        <v>14</v>
      </c>
      <c r="AE4">
        <f t="shared" si="10"/>
        <v>29</v>
      </c>
      <c r="AF4">
        <f t="shared" si="11"/>
        <v>5</v>
      </c>
      <c r="AG4">
        <f t="shared" si="12"/>
        <v>0</v>
      </c>
      <c r="AH4">
        <f t="shared" si="13"/>
        <v>17</v>
      </c>
      <c r="AJ4">
        <f t="shared" si="14"/>
        <v>13</v>
      </c>
      <c r="AK4">
        <f t="shared" si="15"/>
        <v>0</v>
      </c>
      <c r="AL4">
        <f t="shared" si="16"/>
        <v>1</v>
      </c>
      <c r="AM4">
        <f t="shared" si="17"/>
        <v>7</v>
      </c>
    </row>
    <row r="5" spans="1:39">
      <c r="A5">
        <v>240.16</v>
      </c>
      <c r="B5">
        <v>142</v>
      </c>
      <c r="C5">
        <v>21</v>
      </c>
      <c r="D5">
        <v>0</v>
      </c>
      <c r="E5">
        <v>55</v>
      </c>
      <c r="F5">
        <v>68</v>
      </c>
      <c r="G5">
        <v>5</v>
      </c>
      <c r="H5">
        <v>7</v>
      </c>
      <c r="I5">
        <v>17</v>
      </c>
      <c r="K5">
        <v>24</v>
      </c>
      <c r="L5">
        <v>2</v>
      </c>
      <c r="M5">
        <v>1</v>
      </c>
      <c r="N5">
        <v>8</v>
      </c>
      <c r="P5">
        <v>42</v>
      </c>
      <c r="Q5">
        <v>0</v>
      </c>
      <c r="R5">
        <v>3</v>
      </c>
      <c r="S5">
        <v>10</v>
      </c>
      <c r="U5">
        <f t="shared" si="3"/>
        <v>160</v>
      </c>
      <c r="V5">
        <f t="shared" si="4"/>
        <v>19</v>
      </c>
      <c r="W5">
        <f t="shared" si="5"/>
        <v>2</v>
      </c>
      <c r="X5">
        <f t="shared" si="6"/>
        <v>57</v>
      </c>
      <c r="Z5">
        <f>F5+K5-P5</f>
        <v>50</v>
      </c>
      <c r="AA5">
        <f t="shared" si="7"/>
        <v>7</v>
      </c>
      <c r="AB5">
        <f t="shared" si="8"/>
        <v>5</v>
      </c>
      <c r="AC5">
        <f t="shared" si="9"/>
        <v>15</v>
      </c>
      <c r="AE5">
        <f t="shared" si="10"/>
        <v>50</v>
      </c>
      <c r="AF5">
        <f t="shared" si="11"/>
        <v>4</v>
      </c>
      <c r="AG5">
        <f t="shared" si="12"/>
        <v>2</v>
      </c>
      <c r="AH5">
        <f t="shared" si="13"/>
        <v>12</v>
      </c>
      <c r="AJ5">
        <f t="shared" si="14"/>
        <v>11</v>
      </c>
      <c r="AK5">
        <f t="shared" si="15"/>
        <v>4</v>
      </c>
      <c r="AL5">
        <f t="shared" si="16"/>
        <v>3</v>
      </c>
      <c r="AM5">
        <f t="shared" si="17"/>
        <v>1</v>
      </c>
    </row>
    <row r="6" spans="1:39">
      <c r="A6">
        <v>300.2</v>
      </c>
      <c r="B6">
        <v>207</v>
      </c>
      <c r="C6">
        <v>31</v>
      </c>
      <c r="D6">
        <v>0</v>
      </c>
      <c r="E6">
        <v>71</v>
      </c>
      <c r="F6">
        <v>86</v>
      </c>
      <c r="G6">
        <v>5</v>
      </c>
      <c r="H6">
        <v>7</v>
      </c>
      <c r="I6">
        <v>20</v>
      </c>
      <c r="K6">
        <v>31</v>
      </c>
      <c r="L6">
        <v>2</v>
      </c>
      <c r="M6">
        <v>2</v>
      </c>
      <c r="N6">
        <v>16</v>
      </c>
      <c r="P6">
        <v>50</v>
      </c>
      <c r="Q6">
        <v>0</v>
      </c>
      <c r="R6">
        <v>3</v>
      </c>
      <c r="S6">
        <v>13</v>
      </c>
      <c r="U6">
        <f t="shared" si="3"/>
        <v>226</v>
      </c>
      <c r="V6">
        <f t="shared" si="4"/>
        <v>29</v>
      </c>
      <c r="W6">
        <f t="shared" si="5"/>
        <v>1</v>
      </c>
      <c r="X6">
        <f t="shared" si="6"/>
        <v>68</v>
      </c>
      <c r="Z6">
        <f>F6+K6-P6</f>
        <v>67</v>
      </c>
      <c r="AA6">
        <f t="shared" si="7"/>
        <v>7</v>
      </c>
      <c r="AB6">
        <f t="shared" si="8"/>
        <v>6</v>
      </c>
      <c r="AC6">
        <f t="shared" si="9"/>
        <v>23</v>
      </c>
      <c r="AE6">
        <f t="shared" si="10"/>
        <v>66</v>
      </c>
      <c r="AF6">
        <f t="shared" si="11"/>
        <v>10</v>
      </c>
      <c r="AG6">
        <f t="shared" si="12"/>
        <v>-1</v>
      </c>
      <c r="AH6">
        <f t="shared" si="13"/>
        <v>11</v>
      </c>
      <c r="AJ6">
        <f t="shared" si="14"/>
        <v>17</v>
      </c>
      <c r="AK6">
        <f t="shared" si="15"/>
        <v>0</v>
      </c>
      <c r="AL6">
        <f t="shared" si="16"/>
        <v>1</v>
      </c>
      <c r="AM6">
        <f t="shared" si="17"/>
        <v>8</v>
      </c>
    </row>
    <row r="7" spans="1:39">
      <c r="A7">
        <v>360.24</v>
      </c>
      <c r="B7">
        <v>245</v>
      </c>
      <c r="C7">
        <v>34</v>
      </c>
      <c r="D7">
        <v>0</v>
      </c>
      <c r="E7">
        <v>97</v>
      </c>
      <c r="F7">
        <v>106</v>
      </c>
      <c r="G7">
        <v>8</v>
      </c>
      <c r="H7">
        <v>7</v>
      </c>
      <c r="I7">
        <v>22</v>
      </c>
      <c r="K7">
        <v>36</v>
      </c>
      <c r="L7">
        <v>4</v>
      </c>
      <c r="M7">
        <v>2</v>
      </c>
      <c r="N7">
        <v>18</v>
      </c>
      <c r="P7">
        <v>55</v>
      </c>
      <c r="Q7">
        <v>0</v>
      </c>
      <c r="R7">
        <v>3</v>
      </c>
      <c r="S7">
        <v>14</v>
      </c>
      <c r="U7">
        <f t="shared" si="3"/>
        <v>264</v>
      </c>
      <c r="V7">
        <f t="shared" si="4"/>
        <v>30</v>
      </c>
      <c r="W7">
        <f t="shared" si="5"/>
        <v>1</v>
      </c>
      <c r="X7">
        <f t="shared" si="6"/>
        <v>93</v>
      </c>
      <c r="Z7">
        <f>F7+K7-P7</f>
        <v>87</v>
      </c>
      <c r="AA7">
        <f t="shared" si="7"/>
        <v>12</v>
      </c>
      <c r="AB7">
        <f t="shared" si="8"/>
        <v>6</v>
      </c>
      <c r="AC7">
        <f t="shared" si="9"/>
        <v>26</v>
      </c>
      <c r="AE7">
        <f t="shared" si="10"/>
        <v>38</v>
      </c>
      <c r="AF7">
        <f t="shared" si="11"/>
        <v>1</v>
      </c>
      <c r="AG7">
        <f t="shared" si="12"/>
        <v>0</v>
      </c>
      <c r="AH7">
        <f t="shared" si="13"/>
        <v>25</v>
      </c>
      <c r="AJ7">
        <f t="shared" si="14"/>
        <v>20</v>
      </c>
      <c r="AK7">
        <f t="shared" si="15"/>
        <v>5</v>
      </c>
      <c r="AL7">
        <f t="shared" si="16"/>
        <v>0</v>
      </c>
      <c r="AM7">
        <f t="shared" si="17"/>
        <v>3</v>
      </c>
    </row>
    <row r="8" spans="1:39">
      <c r="A8">
        <v>420.28</v>
      </c>
      <c r="B8">
        <v>294</v>
      </c>
      <c r="C8">
        <v>39</v>
      </c>
      <c r="D8">
        <v>1</v>
      </c>
      <c r="E8">
        <v>108</v>
      </c>
      <c r="F8">
        <v>120</v>
      </c>
      <c r="G8">
        <v>9</v>
      </c>
      <c r="H8">
        <v>8</v>
      </c>
      <c r="I8">
        <v>23</v>
      </c>
      <c r="K8">
        <v>41</v>
      </c>
      <c r="L8">
        <v>4</v>
      </c>
      <c r="M8">
        <v>2</v>
      </c>
      <c r="N8">
        <v>18</v>
      </c>
      <c r="P8">
        <v>61</v>
      </c>
      <c r="Q8">
        <v>0</v>
      </c>
      <c r="R8">
        <v>3</v>
      </c>
      <c r="S8">
        <v>14</v>
      </c>
      <c r="U8">
        <f t="shared" si="3"/>
        <v>314</v>
      </c>
      <c r="V8">
        <f t="shared" si="4"/>
        <v>35</v>
      </c>
      <c r="W8">
        <f t="shared" si="5"/>
        <v>2</v>
      </c>
      <c r="X8">
        <f t="shared" si="6"/>
        <v>104</v>
      </c>
      <c r="Z8">
        <f>F8+K8-P8</f>
        <v>100</v>
      </c>
      <c r="AA8">
        <f t="shared" si="7"/>
        <v>13</v>
      </c>
      <c r="AB8">
        <f t="shared" si="8"/>
        <v>7</v>
      </c>
      <c r="AC8">
        <f t="shared" si="9"/>
        <v>27</v>
      </c>
      <c r="AE8">
        <f t="shared" si="10"/>
        <v>50</v>
      </c>
      <c r="AF8">
        <f t="shared" si="11"/>
        <v>5</v>
      </c>
      <c r="AG8">
        <f t="shared" si="12"/>
        <v>1</v>
      </c>
      <c r="AH8">
        <f t="shared" si="13"/>
        <v>11</v>
      </c>
      <c r="AJ8">
        <f t="shared" si="14"/>
        <v>13</v>
      </c>
      <c r="AK8">
        <f t="shared" si="15"/>
        <v>1</v>
      </c>
      <c r="AL8">
        <f t="shared" si="16"/>
        <v>1</v>
      </c>
      <c r="AM8">
        <f t="shared" si="17"/>
        <v>1</v>
      </c>
    </row>
    <row r="9" spans="1:39">
      <c r="A9">
        <v>480.33</v>
      </c>
      <c r="B9">
        <v>332</v>
      </c>
      <c r="C9">
        <v>43</v>
      </c>
      <c r="D9">
        <v>2</v>
      </c>
      <c r="E9">
        <v>131</v>
      </c>
      <c r="F9">
        <v>128</v>
      </c>
      <c r="G9">
        <v>9</v>
      </c>
      <c r="H9">
        <v>9</v>
      </c>
      <c r="I9">
        <v>31</v>
      </c>
      <c r="K9">
        <v>46</v>
      </c>
      <c r="L9">
        <v>4</v>
      </c>
      <c r="M9">
        <v>2</v>
      </c>
      <c r="N9">
        <v>18</v>
      </c>
      <c r="P9">
        <v>67</v>
      </c>
      <c r="Q9">
        <v>0</v>
      </c>
      <c r="R9">
        <v>3</v>
      </c>
      <c r="S9">
        <v>18</v>
      </c>
      <c r="U9">
        <f t="shared" si="3"/>
        <v>353</v>
      </c>
      <c r="V9">
        <f t="shared" si="4"/>
        <v>39</v>
      </c>
      <c r="W9">
        <f t="shared" si="5"/>
        <v>3</v>
      </c>
      <c r="X9">
        <f t="shared" si="6"/>
        <v>131</v>
      </c>
      <c r="Z9">
        <f>F9+K9-P9</f>
        <v>107</v>
      </c>
      <c r="AA9">
        <f t="shared" si="7"/>
        <v>13</v>
      </c>
      <c r="AB9">
        <f t="shared" si="8"/>
        <v>8</v>
      </c>
      <c r="AC9">
        <f t="shared" si="9"/>
        <v>31</v>
      </c>
      <c r="AE9">
        <f t="shared" si="10"/>
        <v>39</v>
      </c>
      <c r="AF9">
        <f t="shared" si="11"/>
        <v>4</v>
      </c>
      <c r="AG9">
        <f t="shared" si="12"/>
        <v>1</v>
      </c>
      <c r="AH9">
        <f t="shared" si="13"/>
        <v>27</v>
      </c>
      <c r="AJ9">
        <f t="shared" si="14"/>
        <v>7</v>
      </c>
      <c r="AK9">
        <f t="shared" si="15"/>
        <v>0</v>
      </c>
      <c r="AL9">
        <f t="shared" si="16"/>
        <v>1</v>
      </c>
      <c r="AM9">
        <f t="shared" si="17"/>
        <v>4</v>
      </c>
    </row>
    <row r="10" spans="1:39">
      <c r="A10">
        <v>540.37</v>
      </c>
      <c r="B10">
        <v>379</v>
      </c>
      <c r="C10">
        <v>48</v>
      </c>
      <c r="D10">
        <v>2</v>
      </c>
      <c r="E10">
        <v>153</v>
      </c>
      <c r="F10">
        <v>149</v>
      </c>
      <c r="G10">
        <v>11</v>
      </c>
      <c r="H10">
        <v>9</v>
      </c>
      <c r="I10">
        <v>33</v>
      </c>
      <c r="K10">
        <v>49</v>
      </c>
      <c r="L10">
        <v>4</v>
      </c>
      <c r="M10">
        <v>2</v>
      </c>
      <c r="N10">
        <v>18</v>
      </c>
      <c r="P10">
        <v>82</v>
      </c>
      <c r="Q10">
        <v>1</v>
      </c>
      <c r="R10">
        <v>3</v>
      </c>
      <c r="S10">
        <v>19</v>
      </c>
      <c r="U10">
        <f t="shared" si="3"/>
        <v>412</v>
      </c>
      <c r="V10">
        <f t="shared" si="4"/>
        <v>45</v>
      </c>
      <c r="W10">
        <f t="shared" si="5"/>
        <v>3</v>
      </c>
      <c r="X10">
        <f t="shared" si="6"/>
        <v>154</v>
      </c>
      <c r="Z10">
        <f>F10+K10-P10</f>
        <v>116</v>
      </c>
      <c r="AA10">
        <f t="shared" si="7"/>
        <v>14</v>
      </c>
      <c r="AB10">
        <f t="shared" si="8"/>
        <v>8</v>
      </c>
      <c r="AC10">
        <f t="shared" si="9"/>
        <v>32</v>
      </c>
      <c r="AE10">
        <f t="shared" si="10"/>
        <v>59</v>
      </c>
      <c r="AF10">
        <f t="shared" si="11"/>
        <v>6</v>
      </c>
      <c r="AG10">
        <f t="shared" si="12"/>
        <v>0</v>
      </c>
      <c r="AH10">
        <f t="shared" si="13"/>
        <v>23</v>
      </c>
      <c r="AJ10">
        <f t="shared" si="14"/>
        <v>9</v>
      </c>
      <c r="AK10">
        <f t="shared" si="15"/>
        <v>1</v>
      </c>
      <c r="AL10">
        <f t="shared" si="16"/>
        <v>0</v>
      </c>
      <c r="AM10">
        <f t="shared" si="17"/>
        <v>1</v>
      </c>
    </row>
    <row r="11" spans="1:39">
      <c r="A11">
        <v>600.41</v>
      </c>
      <c r="B11">
        <v>422</v>
      </c>
      <c r="C11">
        <v>51</v>
      </c>
      <c r="D11">
        <v>2</v>
      </c>
      <c r="E11">
        <v>168</v>
      </c>
      <c r="F11">
        <v>170</v>
      </c>
      <c r="G11">
        <v>11</v>
      </c>
      <c r="H11">
        <v>9</v>
      </c>
      <c r="I11">
        <v>38</v>
      </c>
      <c r="K11">
        <v>52</v>
      </c>
      <c r="L11">
        <v>5</v>
      </c>
      <c r="M11">
        <v>2</v>
      </c>
      <c r="N11">
        <v>19</v>
      </c>
      <c r="P11">
        <v>93</v>
      </c>
      <c r="Q11">
        <v>1</v>
      </c>
      <c r="R11">
        <v>3</v>
      </c>
      <c r="S11">
        <v>21</v>
      </c>
      <c r="U11">
        <f t="shared" si="3"/>
        <v>463</v>
      </c>
      <c r="V11">
        <f t="shared" si="4"/>
        <v>47</v>
      </c>
      <c r="W11">
        <f t="shared" si="5"/>
        <v>3</v>
      </c>
      <c r="X11">
        <f t="shared" si="6"/>
        <v>170</v>
      </c>
      <c r="Z11">
        <f>F11+K11-P11</f>
        <v>129</v>
      </c>
      <c r="AA11">
        <f t="shared" si="7"/>
        <v>15</v>
      </c>
      <c r="AB11">
        <f t="shared" si="8"/>
        <v>8</v>
      </c>
      <c r="AC11">
        <f t="shared" si="9"/>
        <v>36</v>
      </c>
      <c r="AE11">
        <f t="shared" si="10"/>
        <v>51</v>
      </c>
      <c r="AF11">
        <f t="shared" si="11"/>
        <v>2</v>
      </c>
      <c r="AG11">
        <f t="shared" si="12"/>
        <v>0</v>
      </c>
      <c r="AH11">
        <f t="shared" si="13"/>
        <v>16</v>
      </c>
      <c r="AJ11">
        <f t="shared" si="14"/>
        <v>13</v>
      </c>
      <c r="AK11">
        <f t="shared" si="15"/>
        <v>1</v>
      </c>
      <c r="AL11">
        <f t="shared" si="16"/>
        <v>0</v>
      </c>
      <c r="AM11">
        <f t="shared" si="17"/>
        <v>4</v>
      </c>
    </row>
    <row r="12" spans="1:39">
      <c r="A12">
        <v>660.45</v>
      </c>
      <c r="B12">
        <v>469</v>
      </c>
      <c r="C12">
        <v>56</v>
      </c>
      <c r="D12">
        <v>2</v>
      </c>
      <c r="E12">
        <v>186</v>
      </c>
      <c r="F12">
        <v>184</v>
      </c>
      <c r="G12">
        <v>12</v>
      </c>
      <c r="H12">
        <v>9</v>
      </c>
      <c r="I12">
        <v>44</v>
      </c>
      <c r="K12">
        <v>56</v>
      </c>
      <c r="L12">
        <v>6</v>
      </c>
      <c r="M12">
        <v>2</v>
      </c>
      <c r="N12">
        <v>19</v>
      </c>
      <c r="P12">
        <v>102</v>
      </c>
      <c r="Q12">
        <v>1</v>
      </c>
      <c r="R12">
        <v>3</v>
      </c>
      <c r="S12">
        <v>23</v>
      </c>
      <c r="U12">
        <f t="shared" si="3"/>
        <v>515</v>
      </c>
      <c r="V12">
        <f t="shared" si="4"/>
        <v>51</v>
      </c>
      <c r="W12">
        <f t="shared" si="5"/>
        <v>3</v>
      </c>
      <c r="X12">
        <f t="shared" si="6"/>
        <v>190</v>
      </c>
      <c r="Z12">
        <f>F12+K12-P12</f>
        <v>138</v>
      </c>
      <c r="AA12">
        <f t="shared" si="7"/>
        <v>17</v>
      </c>
      <c r="AB12">
        <f t="shared" si="8"/>
        <v>8</v>
      </c>
      <c r="AC12">
        <f t="shared" si="9"/>
        <v>40</v>
      </c>
      <c r="AE12">
        <f t="shared" si="10"/>
        <v>52</v>
      </c>
      <c r="AF12">
        <f t="shared" si="11"/>
        <v>4</v>
      </c>
      <c r="AG12">
        <f t="shared" si="12"/>
        <v>0</v>
      </c>
      <c r="AH12">
        <f t="shared" si="13"/>
        <v>20</v>
      </c>
      <c r="AJ12">
        <f t="shared" si="14"/>
        <v>9</v>
      </c>
      <c r="AK12">
        <f t="shared" si="15"/>
        <v>2</v>
      </c>
      <c r="AL12">
        <f t="shared" si="16"/>
        <v>0</v>
      </c>
      <c r="AM12">
        <f t="shared" si="17"/>
        <v>4</v>
      </c>
    </row>
    <row r="13" spans="1:39">
      <c r="A13">
        <v>720.49</v>
      </c>
      <c r="B13">
        <v>512</v>
      </c>
      <c r="C13">
        <v>65</v>
      </c>
      <c r="D13">
        <v>2</v>
      </c>
      <c r="E13">
        <v>198</v>
      </c>
      <c r="F13">
        <v>207</v>
      </c>
      <c r="G13">
        <v>13</v>
      </c>
      <c r="H13">
        <v>9</v>
      </c>
      <c r="I13">
        <v>49</v>
      </c>
      <c r="K13">
        <v>65</v>
      </c>
      <c r="L13">
        <v>8</v>
      </c>
      <c r="M13">
        <v>2</v>
      </c>
      <c r="N13">
        <v>24</v>
      </c>
      <c r="P13">
        <v>119</v>
      </c>
      <c r="Q13">
        <v>1</v>
      </c>
      <c r="R13">
        <v>3</v>
      </c>
      <c r="S13">
        <v>26</v>
      </c>
      <c r="U13">
        <f t="shared" si="3"/>
        <v>566</v>
      </c>
      <c r="V13">
        <f t="shared" si="4"/>
        <v>58</v>
      </c>
      <c r="W13">
        <f t="shared" si="5"/>
        <v>3</v>
      </c>
      <c r="X13">
        <f t="shared" si="6"/>
        <v>200</v>
      </c>
      <c r="Z13">
        <f>F13+K13-P13</f>
        <v>153</v>
      </c>
      <c r="AA13">
        <f t="shared" si="7"/>
        <v>20</v>
      </c>
      <c r="AB13">
        <f t="shared" si="8"/>
        <v>8</v>
      </c>
      <c r="AC13">
        <f t="shared" si="9"/>
        <v>47</v>
      </c>
      <c r="AE13">
        <f t="shared" si="10"/>
        <v>51</v>
      </c>
      <c r="AF13">
        <f t="shared" si="11"/>
        <v>7</v>
      </c>
      <c r="AG13">
        <f t="shared" si="12"/>
        <v>0</v>
      </c>
      <c r="AH13">
        <f t="shared" si="13"/>
        <v>10</v>
      </c>
      <c r="AJ13">
        <f t="shared" si="14"/>
        <v>15</v>
      </c>
      <c r="AK13">
        <f t="shared" si="15"/>
        <v>3</v>
      </c>
      <c r="AL13">
        <f t="shared" si="16"/>
        <v>0</v>
      </c>
      <c r="AM13">
        <f t="shared" si="17"/>
        <v>7</v>
      </c>
    </row>
    <row r="14" spans="1:39">
      <c r="A14">
        <v>780.53</v>
      </c>
      <c r="B14">
        <v>545</v>
      </c>
      <c r="C14">
        <v>68</v>
      </c>
      <c r="D14">
        <v>2</v>
      </c>
      <c r="E14">
        <v>218</v>
      </c>
      <c r="F14">
        <v>224</v>
      </c>
      <c r="G14">
        <v>14</v>
      </c>
      <c r="H14">
        <v>10</v>
      </c>
      <c r="I14">
        <v>52</v>
      </c>
      <c r="K14">
        <v>70</v>
      </c>
      <c r="L14">
        <v>8</v>
      </c>
      <c r="M14">
        <v>3</v>
      </c>
      <c r="N14">
        <v>26</v>
      </c>
      <c r="P14">
        <v>126</v>
      </c>
      <c r="Q14">
        <v>1</v>
      </c>
      <c r="R14">
        <v>3</v>
      </c>
      <c r="S14">
        <v>28</v>
      </c>
      <c r="U14">
        <f t="shared" si="3"/>
        <v>601</v>
      </c>
      <c r="V14">
        <f t="shared" si="4"/>
        <v>61</v>
      </c>
      <c r="W14">
        <f t="shared" si="5"/>
        <v>2</v>
      </c>
      <c r="X14">
        <f t="shared" si="6"/>
        <v>220</v>
      </c>
      <c r="Z14">
        <f>F14+K14-P14</f>
        <v>168</v>
      </c>
      <c r="AA14">
        <f t="shared" si="7"/>
        <v>21</v>
      </c>
      <c r="AB14">
        <f t="shared" si="8"/>
        <v>10</v>
      </c>
      <c r="AC14">
        <f t="shared" si="9"/>
        <v>50</v>
      </c>
      <c r="AE14">
        <f t="shared" si="10"/>
        <v>35</v>
      </c>
      <c r="AF14">
        <f t="shared" si="11"/>
        <v>3</v>
      </c>
      <c r="AG14">
        <f t="shared" si="12"/>
        <v>-1</v>
      </c>
      <c r="AH14">
        <f t="shared" si="13"/>
        <v>20</v>
      </c>
      <c r="AJ14">
        <f t="shared" si="14"/>
        <v>15</v>
      </c>
      <c r="AK14">
        <f t="shared" si="15"/>
        <v>1</v>
      </c>
      <c r="AL14">
        <f t="shared" si="16"/>
        <v>2</v>
      </c>
      <c r="AM14">
        <f t="shared" si="17"/>
        <v>3</v>
      </c>
    </row>
    <row r="15" spans="1:39">
      <c r="A15">
        <v>840.57</v>
      </c>
      <c r="B15">
        <v>580</v>
      </c>
      <c r="C15">
        <v>73</v>
      </c>
      <c r="D15">
        <v>2</v>
      </c>
      <c r="E15">
        <v>241</v>
      </c>
      <c r="F15">
        <v>242</v>
      </c>
      <c r="G15">
        <v>16</v>
      </c>
      <c r="H15">
        <v>13</v>
      </c>
      <c r="I15">
        <v>58</v>
      </c>
      <c r="K15">
        <v>76</v>
      </c>
      <c r="L15">
        <v>9</v>
      </c>
      <c r="M15">
        <v>3</v>
      </c>
      <c r="N15">
        <v>30</v>
      </c>
      <c r="P15">
        <v>138</v>
      </c>
      <c r="Q15">
        <v>2</v>
      </c>
      <c r="R15">
        <v>3</v>
      </c>
      <c r="S15">
        <v>31</v>
      </c>
      <c r="U15">
        <f t="shared" si="3"/>
        <v>642</v>
      </c>
      <c r="V15">
        <f t="shared" si="4"/>
        <v>66</v>
      </c>
      <c r="W15">
        <f t="shared" si="5"/>
        <v>2</v>
      </c>
      <c r="X15">
        <f t="shared" si="6"/>
        <v>242</v>
      </c>
      <c r="Z15">
        <f>F15+K15-P15</f>
        <v>180</v>
      </c>
      <c r="AA15">
        <f t="shared" si="7"/>
        <v>23</v>
      </c>
      <c r="AB15">
        <f t="shared" si="8"/>
        <v>13</v>
      </c>
      <c r="AC15">
        <f t="shared" si="9"/>
        <v>57</v>
      </c>
      <c r="AE15">
        <f t="shared" si="10"/>
        <v>41</v>
      </c>
      <c r="AF15">
        <f t="shared" si="11"/>
        <v>5</v>
      </c>
      <c r="AG15">
        <f t="shared" si="12"/>
        <v>0</v>
      </c>
      <c r="AH15">
        <f t="shared" si="13"/>
        <v>22</v>
      </c>
      <c r="AJ15">
        <f t="shared" si="14"/>
        <v>12</v>
      </c>
      <c r="AK15">
        <f t="shared" si="15"/>
        <v>2</v>
      </c>
      <c r="AL15">
        <f t="shared" si="16"/>
        <v>3</v>
      </c>
      <c r="AM15">
        <f t="shared" si="17"/>
        <v>7</v>
      </c>
    </row>
    <row r="16" spans="1:39">
      <c r="A16">
        <v>900.61</v>
      </c>
      <c r="B16">
        <v>632</v>
      </c>
      <c r="C16">
        <v>82</v>
      </c>
      <c r="D16">
        <v>4</v>
      </c>
      <c r="E16">
        <v>252</v>
      </c>
      <c r="F16">
        <v>271</v>
      </c>
      <c r="G16">
        <v>17</v>
      </c>
      <c r="H16">
        <v>13</v>
      </c>
      <c r="I16">
        <v>62</v>
      </c>
      <c r="K16">
        <v>81</v>
      </c>
      <c r="L16">
        <v>9</v>
      </c>
      <c r="M16">
        <v>3</v>
      </c>
      <c r="N16">
        <v>30</v>
      </c>
      <c r="P16">
        <v>153</v>
      </c>
      <c r="Q16">
        <v>4</v>
      </c>
      <c r="R16">
        <v>3</v>
      </c>
      <c r="S16">
        <v>34</v>
      </c>
      <c r="U16">
        <f t="shared" si="3"/>
        <v>704</v>
      </c>
      <c r="V16">
        <f t="shared" si="4"/>
        <v>77</v>
      </c>
      <c r="W16">
        <f t="shared" si="5"/>
        <v>4</v>
      </c>
      <c r="X16">
        <f t="shared" si="6"/>
        <v>256</v>
      </c>
      <c r="Z16">
        <f>F16+K16-P16</f>
        <v>199</v>
      </c>
      <c r="AA16">
        <f t="shared" si="7"/>
        <v>22</v>
      </c>
      <c r="AB16">
        <f t="shared" si="8"/>
        <v>13</v>
      </c>
      <c r="AC16">
        <f t="shared" si="9"/>
        <v>58</v>
      </c>
      <c r="AE16">
        <f t="shared" si="10"/>
        <v>62</v>
      </c>
      <c r="AF16">
        <f t="shared" si="11"/>
        <v>11</v>
      </c>
      <c r="AG16">
        <f t="shared" si="12"/>
        <v>2</v>
      </c>
      <c r="AH16">
        <f t="shared" si="13"/>
        <v>14</v>
      </c>
      <c r="AJ16">
        <f t="shared" si="14"/>
        <v>19</v>
      </c>
      <c r="AK16">
        <f t="shared" si="15"/>
        <v>-1</v>
      </c>
      <c r="AL16">
        <f t="shared" si="16"/>
        <v>0</v>
      </c>
      <c r="AM16">
        <f t="shared" si="17"/>
        <v>1</v>
      </c>
    </row>
    <row r="17" spans="1:39">
      <c r="A17">
        <v>960.65</v>
      </c>
      <c r="B17">
        <v>677</v>
      </c>
      <c r="C17">
        <v>85</v>
      </c>
      <c r="D17">
        <v>4</v>
      </c>
      <c r="E17">
        <v>272</v>
      </c>
      <c r="F17">
        <v>287</v>
      </c>
      <c r="G17">
        <v>17</v>
      </c>
      <c r="H17">
        <v>16</v>
      </c>
      <c r="I17">
        <v>64</v>
      </c>
      <c r="K17">
        <v>83</v>
      </c>
      <c r="L17">
        <v>9</v>
      </c>
      <c r="M17">
        <v>3</v>
      </c>
      <c r="N17">
        <v>32</v>
      </c>
      <c r="P17">
        <v>161</v>
      </c>
      <c r="Q17">
        <v>4</v>
      </c>
      <c r="R17">
        <v>3</v>
      </c>
      <c r="S17">
        <v>35</v>
      </c>
      <c r="U17">
        <f t="shared" si="3"/>
        <v>755</v>
      </c>
      <c r="V17">
        <f t="shared" si="4"/>
        <v>80</v>
      </c>
      <c r="W17">
        <f t="shared" si="5"/>
        <v>4</v>
      </c>
      <c r="X17">
        <f t="shared" si="6"/>
        <v>275</v>
      </c>
      <c r="Z17">
        <f>F17+K17-P17</f>
        <v>209</v>
      </c>
      <c r="AA17">
        <f t="shared" si="7"/>
        <v>22</v>
      </c>
      <c r="AB17">
        <f t="shared" si="8"/>
        <v>16</v>
      </c>
      <c r="AC17">
        <f t="shared" si="9"/>
        <v>61</v>
      </c>
      <c r="AE17">
        <f t="shared" si="10"/>
        <v>51</v>
      </c>
      <c r="AF17">
        <f t="shared" si="11"/>
        <v>3</v>
      </c>
      <c r="AG17">
        <f t="shared" si="12"/>
        <v>0</v>
      </c>
      <c r="AH17">
        <f t="shared" si="13"/>
        <v>19</v>
      </c>
      <c r="AJ17">
        <f t="shared" si="14"/>
        <v>10</v>
      </c>
      <c r="AK17">
        <f t="shared" si="15"/>
        <v>0</v>
      </c>
      <c r="AL17">
        <f t="shared" si="16"/>
        <v>3</v>
      </c>
      <c r="AM17">
        <f t="shared" si="17"/>
        <v>3</v>
      </c>
    </row>
    <row r="18" spans="1:39">
      <c r="A18">
        <v>1020.69</v>
      </c>
      <c r="B18">
        <v>726</v>
      </c>
      <c r="C18">
        <v>91</v>
      </c>
      <c r="D18">
        <v>4</v>
      </c>
      <c r="E18">
        <v>287</v>
      </c>
      <c r="F18">
        <v>300</v>
      </c>
      <c r="G18">
        <v>19</v>
      </c>
      <c r="H18">
        <v>17</v>
      </c>
      <c r="I18">
        <v>70</v>
      </c>
      <c r="K18">
        <v>86</v>
      </c>
      <c r="L18">
        <v>9</v>
      </c>
      <c r="M18">
        <v>3</v>
      </c>
      <c r="N18">
        <v>32</v>
      </c>
      <c r="P18">
        <v>165</v>
      </c>
      <c r="Q18">
        <v>4</v>
      </c>
      <c r="R18">
        <v>3</v>
      </c>
      <c r="S18">
        <v>36</v>
      </c>
      <c r="U18">
        <f t="shared" si="3"/>
        <v>805</v>
      </c>
      <c r="V18">
        <f t="shared" si="4"/>
        <v>86</v>
      </c>
      <c r="W18">
        <f t="shared" si="5"/>
        <v>4</v>
      </c>
      <c r="X18">
        <f t="shared" si="6"/>
        <v>291</v>
      </c>
      <c r="Z18">
        <f>F18+K18-P18</f>
        <v>221</v>
      </c>
      <c r="AA18">
        <f t="shared" si="7"/>
        <v>24</v>
      </c>
      <c r="AB18">
        <f t="shared" si="8"/>
        <v>17</v>
      </c>
      <c r="AC18">
        <f t="shared" si="9"/>
        <v>66</v>
      </c>
      <c r="AE18">
        <f t="shared" si="10"/>
        <v>50</v>
      </c>
      <c r="AF18">
        <f t="shared" si="11"/>
        <v>6</v>
      </c>
      <c r="AG18">
        <f t="shared" si="12"/>
        <v>0</v>
      </c>
      <c r="AH18">
        <f t="shared" si="13"/>
        <v>16</v>
      </c>
      <c r="AJ18">
        <f t="shared" si="14"/>
        <v>12</v>
      </c>
      <c r="AK18">
        <f t="shared" si="15"/>
        <v>2</v>
      </c>
      <c r="AL18">
        <f t="shared" si="16"/>
        <v>1</v>
      </c>
      <c r="AM18">
        <f t="shared" si="17"/>
        <v>5</v>
      </c>
    </row>
    <row r="19" spans="1:39">
      <c r="A19">
        <v>1080.73</v>
      </c>
      <c r="B19">
        <v>766</v>
      </c>
      <c r="C19">
        <v>97</v>
      </c>
      <c r="D19">
        <v>6</v>
      </c>
      <c r="E19">
        <v>301</v>
      </c>
      <c r="F19">
        <v>327</v>
      </c>
      <c r="G19">
        <v>20</v>
      </c>
      <c r="H19">
        <v>17</v>
      </c>
      <c r="I19">
        <v>75</v>
      </c>
      <c r="K19">
        <v>93</v>
      </c>
      <c r="L19">
        <v>11</v>
      </c>
      <c r="M19">
        <v>3</v>
      </c>
      <c r="N19">
        <v>32</v>
      </c>
      <c r="P19">
        <v>177</v>
      </c>
      <c r="Q19">
        <v>4</v>
      </c>
      <c r="R19">
        <v>3</v>
      </c>
      <c r="S19">
        <v>40</v>
      </c>
      <c r="U19">
        <f t="shared" si="3"/>
        <v>850</v>
      </c>
      <c r="V19">
        <f t="shared" si="4"/>
        <v>90</v>
      </c>
      <c r="W19">
        <f t="shared" si="5"/>
        <v>6</v>
      </c>
      <c r="X19">
        <f t="shared" si="6"/>
        <v>309</v>
      </c>
      <c r="Z19">
        <f>F19+K19-P19</f>
        <v>243</v>
      </c>
      <c r="AA19">
        <f t="shared" si="7"/>
        <v>27</v>
      </c>
      <c r="AB19">
        <f t="shared" si="8"/>
        <v>17</v>
      </c>
      <c r="AC19">
        <f t="shared" si="9"/>
        <v>67</v>
      </c>
      <c r="AE19">
        <f t="shared" si="10"/>
        <v>45</v>
      </c>
      <c r="AF19">
        <f t="shared" si="11"/>
        <v>4</v>
      </c>
      <c r="AG19">
        <f t="shared" si="12"/>
        <v>2</v>
      </c>
      <c r="AH19">
        <f t="shared" si="13"/>
        <v>18</v>
      </c>
      <c r="AJ19">
        <f t="shared" si="14"/>
        <v>22</v>
      </c>
      <c r="AK19">
        <f t="shared" si="15"/>
        <v>3</v>
      </c>
      <c r="AL19">
        <f t="shared" si="16"/>
        <v>0</v>
      </c>
      <c r="AM19">
        <f t="shared" si="17"/>
        <v>1</v>
      </c>
    </row>
    <row r="20" spans="1:39">
      <c r="A20">
        <v>1140.77</v>
      </c>
      <c r="B20">
        <v>791</v>
      </c>
      <c r="C20">
        <v>107</v>
      </c>
      <c r="D20">
        <v>6</v>
      </c>
      <c r="E20">
        <v>336</v>
      </c>
      <c r="F20">
        <v>339</v>
      </c>
      <c r="G20">
        <v>21</v>
      </c>
      <c r="H20">
        <v>18</v>
      </c>
      <c r="I20">
        <v>78</v>
      </c>
      <c r="K20">
        <v>95</v>
      </c>
      <c r="L20">
        <v>11</v>
      </c>
      <c r="M20">
        <v>3</v>
      </c>
      <c r="N20">
        <v>35</v>
      </c>
      <c r="P20">
        <v>182</v>
      </c>
      <c r="Q20">
        <v>5</v>
      </c>
      <c r="R20">
        <v>3</v>
      </c>
      <c r="S20">
        <v>41</v>
      </c>
      <c r="U20">
        <f t="shared" si="3"/>
        <v>878</v>
      </c>
      <c r="V20">
        <f t="shared" si="4"/>
        <v>101</v>
      </c>
      <c r="W20">
        <f t="shared" si="5"/>
        <v>6</v>
      </c>
      <c r="X20">
        <f t="shared" si="6"/>
        <v>342</v>
      </c>
      <c r="Z20">
        <f>F20+K20-P20</f>
        <v>252</v>
      </c>
      <c r="AA20">
        <f t="shared" si="7"/>
        <v>27</v>
      </c>
      <c r="AB20">
        <f t="shared" si="8"/>
        <v>18</v>
      </c>
      <c r="AC20">
        <f t="shared" si="9"/>
        <v>72</v>
      </c>
      <c r="AE20">
        <f t="shared" si="10"/>
        <v>28</v>
      </c>
      <c r="AF20">
        <f t="shared" si="11"/>
        <v>11</v>
      </c>
      <c r="AG20">
        <f t="shared" si="12"/>
        <v>0</v>
      </c>
      <c r="AH20">
        <f t="shared" si="13"/>
        <v>33</v>
      </c>
      <c r="AJ20">
        <f t="shared" si="14"/>
        <v>9</v>
      </c>
      <c r="AK20">
        <f t="shared" si="15"/>
        <v>0</v>
      </c>
      <c r="AL20">
        <f t="shared" si="16"/>
        <v>1</v>
      </c>
      <c r="AM20">
        <f t="shared" si="17"/>
        <v>5</v>
      </c>
    </row>
    <row r="21" spans="1:39">
      <c r="A21">
        <v>1200.81</v>
      </c>
      <c r="B21">
        <v>828</v>
      </c>
      <c r="C21">
        <v>113</v>
      </c>
      <c r="D21">
        <v>8</v>
      </c>
      <c r="E21">
        <v>359</v>
      </c>
      <c r="F21">
        <v>353</v>
      </c>
      <c r="G21">
        <v>22</v>
      </c>
      <c r="H21">
        <v>19</v>
      </c>
      <c r="I21">
        <v>88</v>
      </c>
      <c r="K21">
        <v>100</v>
      </c>
      <c r="L21">
        <v>11</v>
      </c>
      <c r="M21">
        <v>3</v>
      </c>
      <c r="N21">
        <v>37</v>
      </c>
      <c r="P21">
        <v>190</v>
      </c>
      <c r="Q21">
        <v>5</v>
      </c>
      <c r="R21">
        <v>3</v>
      </c>
      <c r="S21">
        <v>45</v>
      </c>
      <c r="U21">
        <f t="shared" si="3"/>
        <v>918</v>
      </c>
      <c r="V21">
        <f t="shared" si="4"/>
        <v>107</v>
      </c>
      <c r="W21">
        <f t="shared" si="5"/>
        <v>8</v>
      </c>
      <c r="X21">
        <f t="shared" si="6"/>
        <v>367</v>
      </c>
      <c r="Z21">
        <f>F21+K21-P21</f>
        <v>263</v>
      </c>
      <c r="AA21">
        <f t="shared" si="7"/>
        <v>28</v>
      </c>
      <c r="AB21">
        <f t="shared" si="8"/>
        <v>19</v>
      </c>
      <c r="AC21">
        <f t="shared" si="9"/>
        <v>80</v>
      </c>
      <c r="AE21">
        <f t="shared" si="10"/>
        <v>40</v>
      </c>
      <c r="AF21">
        <f t="shared" si="11"/>
        <v>6</v>
      </c>
      <c r="AG21">
        <f t="shared" si="12"/>
        <v>2</v>
      </c>
      <c r="AH21">
        <f t="shared" si="13"/>
        <v>25</v>
      </c>
      <c r="AJ21">
        <f t="shared" si="14"/>
        <v>11</v>
      </c>
      <c r="AK21">
        <f t="shared" si="15"/>
        <v>1</v>
      </c>
      <c r="AL21">
        <f t="shared" si="16"/>
        <v>1</v>
      </c>
      <c r="AM21">
        <f t="shared" si="17"/>
        <v>8</v>
      </c>
    </row>
    <row r="22" spans="1:39">
      <c r="A22">
        <v>1260.8499999999999</v>
      </c>
      <c r="B22">
        <v>881</v>
      </c>
      <c r="C22">
        <v>118</v>
      </c>
      <c r="D22">
        <v>8</v>
      </c>
      <c r="E22">
        <v>376</v>
      </c>
      <c r="F22">
        <v>372</v>
      </c>
      <c r="G22">
        <v>22</v>
      </c>
      <c r="H22">
        <v>19</v>
      </c>
      <c r="I22">
        <v>92</v>
      </c>
      <c r="K22">
        <v>103</v>
      </c>
      <c r="L22">
        <v>11</v>
      </c>
      <c r="M22">
        <v>3</v>
      </c>
      <c r="N22">
        <v>38</v>
      </c>
      <c r="P22">
        <v>202</v>
      </c>
      <c r="Q22">
        <v>5</v>
      </c>
      <c r="R22">
        <v>3</v>
      </c>
      <c r="S22">
        <v>47</v>
      </c>
      <c r="U22">
        <f t="shared" si="3"/>
        <v>980</v>
      </c>
      <c r="V22">
        <f t="shared" si="4"/>
        <v>112</v>
      </c>
      <c r="W22">
        <f t="shared" si="5"/>
        <v>8</v>
      </c>
      <c r="X22">
        <f t="shared" si="6"/>
        <v>385</v>
      </c>
      <c r="Z22">
        <f>F22+K22-P22</f>
        <v>273</v>
      </c>
      <c r="AA22">
        <f t="shared" si="7"/>
        <v>28</v>
      </c>
      <c r="AB22">
        <f t="shared" si="8"/>
        <v>19</v>
      </c>
      <c r="AC22">
        <f t="shared" si="9"/>
        <v>83</v>
      </c>
      <c r="AE22">
        <f t="shared" si="10"/>
        <v>62</v>
      </c>
      <c r="AF22">
        <f t="shared" si="11"/>
        <v>5</v>
      </c>
      <c r="AG22">
        <f t="shared" si="12"/>
        <v>0</v>
      </c>
      <c r="AH22">
        <f t="shared" si="13"/>
        <v>18</v>
      </c>
      <c r="AJ22">
        <f t="shared" si="14"/>
        <v>10</v>
      </c>
      <c r="AK22">
        <f t="shared" si="15"/>
        <v>0</v>
      </c>
      <c r="AL22">
        <f t="shared" si="16"/>
        <v>0</v>
      </c>
      <c r="AM22">
        <f t="shared" si="17"/>
        <v>3</v>
      </c>
    </row>
    <row r="23" spans="1:39">
      <c r="A23">
        <v>1320.9</v>
      </c>
      <c r="B23">
        <v>923</v>
      </c>
      <c r="C23">
        <v>128</v>
      </c>
      <c r="D23">
        <v>8</v>
      </c>
      <c r="E23">
        <v>396</v>
      </c>
      <c r="F23">
        <v>392</v>
      </c>
      <c r="G23">
        <v>23</v>
      </c>
      <c r="H23">
        <v>20</v>
      </c>
      <c r="I23">
        <v>96</v>
      </c>
      <c r="K23">
        <v>109</v>
      </c>
      <c r="L23">
        <v>11</v>
      </c>
      <c r="M23">
        <v>3</v>
      </c>
      <c r="N23">
        <v>38</v>
      </c>
      <c r="P23">
        <v>213</v>
      </c>
      <c r="Q23">
        <v>5</v>
      </c>
      <c r="R23">
        <v>3</v>
      </c>
      <c r="S23">
        <v>49</v>
      </c>
      <c r="U23">
        <f t="shared" si="3"/>
        <v>1027</v>
      </c>
      <c r="V23">
        <f t="shared" si="4"/>
        <v>122</v>
      </c>
      <c r="W23">
        <f t="shared" si="5"/>
        <v>8</v>
      </c>
      <c r="X23">
        <f t="shared" si="6"/>
        <v>407</v>
      </c>
      <c r="Z23">
        <f>F23+K23-P23</f>
        <v>288</v>
      </c>
      <c r="AA23">
        <f t="shared" si="7"/>
        <v>29</v>
      </c>
      <c r="AB23">
        <f t="shared" si="8"/>
        <v>20</v>
      </c>
      <c r="AC23">
        <f t="shared" si="9"/>
        <v>85</v>
      </c>
      <c r="AE23">
        <f t="shared" si="10"/>
        <v>47</v>
      </c>
      <c r="AF23">
        <f t="shared" si="11"/>
        <v>10</v>
      </c>
      <c r="AG23">
        <f t="shared" si="12"/>
        <v>0</v>
      </c>
      <c r="AH23">
        <f t="shared" si="13"/>
        <v>22</v>
      </c>
      <c r="AJ23">
        <f t="shared" si="14"/>
        <v>15</v>
      </c>
      <c r="AK23">
        <f t="shared" si="15"/>
        <v>1</v>
      </c>
      <c r="AL23">
        <f t="shared" si="16"/>
        <v>1</v>
      </c>
      <c r="AM23">
        <f t="shared" si="17"/>
        <v>2</v>
      </c>
    </row>
    <row r="24" spans="1:39">
      <c r="A24">
        <v>1380.94</v>
      </c>
      <c r="B24">
        <v>975</v>
      </c>
      <c r="C24">
        <v>135</v>
      </c>
      <c r="D24">
        <v>8</v>
      </c>
      <c r="E24">
        <v>409</v>
      </c>
      <c r="F24">
        <v>412</v>
      </c>
      <c r="G24">
        <v>23</v>
      </c>
      <c r="H24">
        <v>21</v>
      </c>
      <c r="I24">
        <v>104</v>
      </c>
      <c r="K24">
        <v>115</v>
      </c>
      <c r="L24">
        <v>11</v>
      </c>
      <c r="M24">
        <v>3</v>
      </c>
      <c r="N24">
        <v>39</v>
      </c>
      <c r="P24">
        <v>224</v>
      </c>
      <c r="Q24">
        <v>5</v>
      </c>
      <c r="R24">
        <v>3</v>
      </c>
      <c r="S24">
        <v>53</v>
      </c>
      <c r="U24">
        <f t="shared" si="3"/>
        <v>1084</v>
      </c>
      <c r="V24">
        <f t="shared" si="4"/>
        <v>129</v>
      </c>
      <c r="W24">
        <f t="shared" si="5"/>
        <v>8</v>
      </c>
      <c r="X24">
        <f t="shared" si="6"/>
        <v>423</v>
      </c>
      <c r="Z24">
        <f>F24+K24-P24</f>
        <v>303</v>
      </c>
      <c r="AA24">
        <f t="shared" si="7"/>
        <v>29</v>
      </c>
      <c r="AB24">
        <f t="shared" si="8"/>
        <v>21</v>
      </c>
      <c r="AC24">
        <f t="shared" si="9"/>
        <v>90</v>
      </c>
      <c r="AE24">
        <f t="shared" si="10"/>
        <v>57</v>
      </c>
      <c r="AF24">
        <f t="shared" si="11"/>
        <v>7</v>
      </c>
      <c r="AG24">
        <f t="shared" si="12"/>
        <v>0</v>
      </c>
      <c r="AH24">
        <f t="shared" si="13"/>
        <v>16</v>
      </c>
      <c r="AJ24">
        <f t="shared" si="14"/>
        <v>15</v>
      </c>
      <c r="AK24">
        <f t="shared" si="15"/>
        <v>0</v>
      </c>
      <c r="AL24">
        <f t="shared" si="16"/>
        <v>1</v>
      </c>
      <c r="AM24">
        <f t="shared" si="17"/>
        <v>5</v>
      </c>
    </row>
    <row r="25" spans="1:39">
      <c r="A25">
        <v>1440.98</v>
      </c>
      <c r="B25">
        <v>1043</v>
      </c>
      <c r="C25">
        <v>139</v>
      </c>
      <c r="D25">
        <v>8</v>
      </c>
      <c r="E25">
        <v>426</v>
      </c>
      <c r="F25">
        <v>428</v>
      </c>
      <c r="G25">
        <v>23</v>
      </c>
      <c r="H25">
        <v>23</v>
      </c>
      <c r="I25">
        <v>104</v>
      </c>
      <c r="K25">
        <v>117</v>
      </c>
      <c r="L25">
        <v>11</v>
      </c>
      <c r="M25">
        <v>3</v>
      </c>
      <c r="N25">
        <v>39</v>
      </c>
      <c r="P25">
        <v>232</v>
      </c>
      <c r="Q25">
        <v>6</v>
      </c>
      <c r="R25">
        <v>3</v>
      </c>
      <c r="S25">
        <v>54</v>
      </c>
      <c r="U25">
        <f t="shared" si="3"/>
        <v>1158</v>
      </c>
      <c r="V25">
        <f t="shared" si="4"/>
        <v>134</v>
      </c>
      <c r="W25">
        <f t="shared" si="5"/>
        <v>8</v>
      </c>
      <c r="X25">
        <f t="shared" si="6"/>
        <v>441</v>
      </c>
      <c r="Z25">
        <f>F25+K25-P25</f>
        <v>313</v>
      </c>
      <c r="AA25">
        <f t="shared" si="7"/>
        <v>28</v>
      </c>
      <c r="AB25">
        <f t="shared" si="8"/>
        <v>23</v>
      </c>
      <c r="AC25">
        <f t="shared" si="9"/>
        <v>89</v>
      </c>
      <c r="AE25">
        <f t="shared" si="10"/>
        <v>74</v>
      </c>
      <c r="AF25">
        <f t="shared" si="11"/>
        <v>5</v>
      </c>
      <c r="AG25">
        <f t="shared" si="12"/>
        <v>0</v>
      </c>
      <c r="AH25">
        <f t="shared" si="13"/>
        <v>18</v>
      </c>
      <c r="AJ25">
        <f t="shared" si="14"/>
        <v>10</v>
      </c>
      <c r="AK25">
        <f t="shared" si="15"/>
        <v>-1</v>
      </c>
      <c r="AL25">
        <f t="shared" si="16"/>
        <v>2</v>
      </c>
      <c r="AM25">
        <f t="shared" si="17"/>
        <v>-1</v>
      </c>
    </row>
    <row r="26" spans="1:39">
      <c r="A26">
        <v>1501.02</v>
      </c>
      <c r="B26">
        <v>1080</v>
      </c>
      <c r="C26">
        <v>145</v>
      </c>
      <c r="D26">
        <v>8</v>
      </c>
      <c r="E26">
        <v>444</v>
      </c>
      <c r="F26">
        <v>448</v>
      </c>
      <c r="G26">
        <v>26</v>
      </c>
      <c r="H26">
        <v>24</v>
      </c>
      <c r="I26">
        <v>106</v>
      </c>
      <c r="K26">
        <v>126</v>
      </c>
      <c r="L26">
        <v>11</v>
      </c>
      <c r="M26">
        <v>3</v>
      </c>
      <c r="N26">
        <v>39</v>
      </c>
      <c r="P26">
        <v>244</v>
      </c>
      <c r="Q26">
        <v>6</v>
      </c>
      <c r="R26">
        <v>3</v>
      </c>
      <c r="S26">
        <v>54</v>
      </c>
      <c r="U26">
        <f t="shared" si="3"/>
        <v>1198</v>
      </c>
      <c r="V26">
        <f t="shared" si="4"/>
        <v>140</v>
      </c>
      <c r="W26">
        <f t="shared" si="5"/>
        <v>8</v>
      </c>
      <c r="X26">
        <f t="shared" si="6"/>
        <v>459</v>
      </c>
      <c r="Z26">
        <f>F26+K26-P26</f>
        <v>330</v>
      </c>
      <c r="AA26">
        <f t="shared" si="7"/>
        <v>31</v>
      </c>
      <c r="AB26">
        <f t="shared" si="8"/>
        <v>24</v>
      </c>
      <c r="AC26">
        <f t="shared" si="9"/>
        <v>91</v>
      </c>
      <c r="AE26">
        <f t="shared" si="10"/>
        <v>40</v>
      </c>
      <c r="AF26">
        <f t="shared" si="11"/>
        <v>6</v>
      </c>
      <c r="AG26">
        <f t="shared" si="12"/>
        <v>0</v>
      </c>
      <c r="AH26">
        <f t="shared" si="13"/>
        <v>18</v>
      </c>
      <c r="AJ26">
        <f t="shared" si="14"/>
        <v>17</v>
      </c>
      <c r="AK26">
        <f t="shared" si="15"/>
        <v>3</v>
      </c>
      <c r="AL26">
        <f t="shared" si="16"/>
        <v>1</v>
      </c>
      <c r="AM26">
        <f t="shared" si="17"/>
        <v>2</v>
      </c>
    </row>
    <row r="27" spans="1:39">
      <c r="A27">
        <v>1561.06</v>
      </c>
      <c r="B27">
        <v>1123</v>
      </c>
      <c r="C27">
        <v>150</v>
      </c>
      <c r="D27">
        <v>8</v>
      </c>
      <c r="E27">
        <v>468</v>
      </c>
      <c r="F27">
        <v>467</v>
      </c>
      <c r="G27">
        <v>26</v>
      </c>
      <c r="H27">
        <v>24</v>
      </c>
      <c r="I27">
        <v>111</v>
      </c>
      <c r="K27">
        <v>129</v>
      </c>
      <c r="L27">
        <v>11</v>
      </c>
      <c r="M27">
        <v>3</v>
      </c>
      <c r="N27">
        <v>41</v>
      </c>
      <c r="P27">
        <v>253</v>
      </c>
      <c r="Q27">
        <v>6</v>
      </c>
      <c r="R27">
        <v>3</v>
      </c>
      <c r="S27">
        <v>57</v>
      </c>
      <c r="U27">
        <f t="shared" si="3"/>
        <v>1247</v>
      </c>
      <c r="V27">
        <f t="shared" si="4"/>
        <v>145</v>
      </c>
      <c r="W27">
        <f t="shared" si="5"/>
        <v>8</v>
      </c>
      <c r="X27">
        <f t="shared" si="6"/>
        <v>484</v>
      </c>
      <c r="Z27">
        <f>F27+K27-P27</f>
        <v>343</v>
      </c>
      <c r="AA27">
        <f t="shared" si="7"/>
        <v>31</v>
      </c>
      <c r="AB27">
        <f t="shared" si="8"/>
        <v>24</v>
      </c>
      <c r="AC27">
        <f t="shared" si="9"/>
        <v>95</v>
      </c>
      <c r="AE27">
        <f t="shared" si="10"/>
        <v>49</v>
      </c>
      <c r="AF27">
        <f t="shared" si="11"/>
        <v>5</v>
      </c>
      <c r="AG27">
        <f t="shared" si="12"/>
        <v>0</v>
      </c>
      <c r="AH27">
        <f t="shared" si="13"/>
        <v>25</v>
      </c>
      <c r="AJ27">
        <f t="shared" si="14"/>
        <v>13</v>
      </c>
      <c r="AK27">
        <f t="shared" si="15"/>
        <v>0</v>
      </c>
      <c r="AL27">
        <f t="shared" si="16"/>
        <v>0</v>
      </c>
      <c r="AM27">
        <f t="shared" si="17"/>
        <v>4</v>
      </c>
    </row>
    <row r="28" spans="1:39">
      <c r="A28">
        <v>1621.1</v>
      </c>
      <c r="B28">
        <v>1168</v>
      </c>
      <c r="C28">
        <v>157</v>
      </c>
      <c r="D28">
        <v>9</v>
      </c>
      <c r="E28">
        <v>478</v>
      </c>
      <c r="F28">
        <v>491</v>
      </c>
      <c r="G28">
        <v>29</v>
      </c>
      <c r="H28">
        <v>24</v>
      </c>
      <c r="I28">
        <v>113</v>
      </c>
      <c r="K28">
        <v>140</v>
      </c>
      <c r="L28">
        <v>11</v>
      </c>
      <c r="M28">
        <v>3</v>
      </c>
      <c r="N28">
        <v>46</v>
      </c>
      <c r="P28">
        <v>264</v>
      </c>
      <c r="Q28">
        <v>6</v>
      </c>
      <c r="R28">
        <v>3</v>
      </c>
      <c r="S28">
        <v>59</v>
      </c>
      <c r="U28">
        <f t="shared" si="3"/>
        <v>1292</v>
      </c>
      <c r="V28">
        <f t="shared" si="4"/>
        <v>152</v>
      </c>
      <c r="W28">
        <f t="shared" si="5"/>
        <v>9</v>
      </c>
      <c r="X28">
        <f t="shared" si="6"/>
        <v>491</v>
      </c>
      <c r="Z28">
        <f>F28+K28-P28</f>
        <v>367</v>
      </c>
      <c r="AA28">
        <f t="shared" si="7"/>
        <v>34</v>
      </c>
      <c r="AB28">
        <f t="shared" si="8"/>
        <v>24</v>
      </c>
      <c r="AC28">
        <f t="shared" si="9"/>
        <v>100</v>
      </c>
      <c r="AE28">
        <f t="shared" si="10"/>
        <v>45</v>
      </c>
      <c r="AF28">
        <f t="shared" si="11"/>
        <v>7</v>
      </c>
      <c r="AG28">
        <f t="shared" si="12"/>
        <v>1</v>
      </c>
      <c r="AH28">
        <f t="shared" si="13"/>
        <v>7</v>
      </c>
      <c r="AJ28">
        <f t="shared" si="14"/>
        <v>24</v>
      </c>
      <c r="AK28">
        <f t="shared" si="15"/>
        <v>3</v>
      </c>
      <c r="AL28">
        <f t="shared" si="16"/>
        <v>0</v>
      </c>
      <c r="AM28">
        <f t="shared" si="17"/>
        <v>5</v>
      </c>
    </row>
    <row r="29" spans="1:39">
      <c r="A29">
        <v>1681.14</v>
      </c>
      <c r="B29">
        <v>1209</v>
      </c>
      <c r="C29">
        <v>160</v>
      </c>
      <c r="D29">
        <v>9</v>
      </c>
      <c r="E29">
        <v>491</v>
      </c>
      <c r="F29">
        <v>507</v>
      </c>
      <c r="G29">
        <v>29</v>
      </c>
      <c r="H29">
        <v>26</v>
      </c>
      <c r="I29">
        <v>119</v>
      </c>
      <c r="K29">
        <v>145</v>
      </c>
      <c r="L29">
        <v>11</v>
      </c>
      <c r="M29">
        <v>3</v>
      </c>
      <c r="N29">
        <v>48</v>
      </c>
      <c r="P29">
        <v>268</v>
      </c>
      <c r="Q29">
        <v>6</v>
      </c>
      <c r="R29">
        <v>4</v>
      </c>
      <c r="S29">
        <v>62</v>
      </c>
      <c r="U29">
        <f t="shared" si="3"/>
        <v>1332</v>
      </c>
      <c r="V29">
        <f t="shared" si="4"/>
        <v>155</v>
      </c>
      <c r="W29">
        <f t="shared" si="5"/>
        <v>10</v>
      </c>
      <c r="X29">
        <f t="shared" si="6"/>
        <v>505</v>
      </c>
      <c r="Z29">
        <f>F29+K29-P29</f>
        <v>384</v>
      </c>
      <c r="AA29">
        <f t="shared" si="7"/>
        <v>34</v>
      </c>
      <c r="AB29">
        <f t="shared" si="8"/>
        <v>25</v>
      </c>
      <c r="AC29">
        <f t="shared" si="9"/>
        <v>105</v>
      </c>
      <c r="AE29">
        <f t="shared" si="10"/>
        <v>40</v>
      </c>
      <c r="AF29">
        <f t="shared" si="11"/>
        <v>3</v>
      </c>
      <c r="AG29">
        <f t="shared" si="12"/>
        <v>1</v>
      </c>
      <c r="AH29">
        <f t="shared" si="13"/>
        <v>14</v>
      </c>
      <c r="AJ29">
        <f t="shared" si="14"/>
        <v>17</v>
      </c>
      <c r="AK29">
        <f t="shared" si="15"/>
        <v>0</v>
      </c>
      <c r="AL29">
        <f t="shared" si="16"/>
        <v>1</v>
      </c>
      <c r="AM29">
        <f t="shared" si="17"/>
        <v>5</v>
      </c>
    </row>
    <row r="30" spans="1:39">
      <c r="A30">
        <v>1741.18</v>
      </c>
      <c r="B30">
        <v>1244</v>
      </c>
      <c r="C30">
        <v>167</v>
      </c>
      <c r="D30">
        <v>9</v>
      </c>
      <c r="E30">
        <v>500</v>
      </c>
      <c r="F30">
        <v>528</v>
      </c>
      <c r="G30">
        <v>34</v>
      </c>
      <c r="H30">
        <v>26</v>
      </c>
      <c r="I30">
        <v>123</v>
      </c>
      <c r="K30">
        <v>150</v>
      </c>
      <c r="L30">
        <v>11</v>
      </c>
      <c r="M30">
        <v>3</v>
      </c>
      <c r="N30">
        <v>52</v>
      </c>
      <c r="P30">
        <v>283</v>
      </c>
      <c r="Q30">
        <v>7</v>
      </c>
      <c r="R30">
        <v>4</v>
      </c>
      <c r="S30">
        <v>63</v>
      </c>
      <c r="U30">
        <f t="shared" si="3"/>
        <v>1377</v>
      </c>
      <c r="V30">
        <f t="shared" si="4"/>
        <v>163</v>
      </c>
      <c r="W30">
        <f t="shared" si="5"/>
        <v>10</v>
      </c>
      <c r="X30">
        <f t="shared" si="6"/>
        <v>511</v>
      </c>
      <c r="Z30">
        <f>F30+K30-P30</f>
        <v>395</v>
      </c>
      <c r="AA30">
        <f t="shared" si="7"/>
        <v>38</v>
      </c>
      <c r="AB30">
        <f t="shared" si="8"/>
        <v>25</v>
      </c>
      <c r="AC30">
        <f t="shared" si="9"/>
        <v>112</v>
      </c>
      <c r="AE30">
        <f t="shared" si="10"/>
        <v>45</v>
      </c>
      <c r="AF30">
        <f t="shared" si="11"/>
        <v>8</v>
      </c>
      <c r="AG30">
        <f t="shared" si="12"/>
        <v>0</v>
      </c>
      <c r="AH30">
        <f t="shared" si="13"/>
        <v>6</v>
      </c>
      <c r="AJ30">
        <f t="shared" si="14"/>
        <v>11</v>
      </c>
      <c r="AK30">
        <f t="shared" si="15"/>
        <v>4</v>
      </c>
      <c r="AL30">
        <f t="shared" si="16"/>
        <v>0</v>
      </c>
      <c r="AM30">
        <f t="shared" si="17"/>
        <v>7</v>
      </c>
    </row>
    <row r="31" spans="1:39">
      <c r="A31">
        <v>1801.22</v>
      </c>
      <c r="B31">
        <v>1283</v>
      </c>
      <c r="C31">
        <v>175</v>
      </c>
      <c r="D31">
        <v>9</v>
      </c>
      <c r="E31">
        <v>520</v>
      </c>
      <c r="F31">
        <v>546</v>
      </c>
      <c r="G31">
        <v>34</v>
      </c>
      <c r="H31">
        <v>26</v>
      </c>
      <c r="I31">
        <v>127</v>
      </c>
      <c r="K31">
        <v>155</v>
      </c>
      <c r="L31">
        <v>13</v>
      </c>
      <c r="M31">
        <v>3</v>
      </c>
      <c r="N31">
        <v>54</v>
      </c>
      <c r="P31">
        <v>294</v>
      </c>
      <c r="Q31">
        <v>7</v>
      </c>
      <c r="R31">
        <v>4</v>
      </c>
      <c r="S31">
        <v>66</v>
      </c>
      <c r="U31">
        <f t="shared" si="3"/>
        <v>1422</v>
      </c>
      <c r="V31">
        <f t="shared" si="4"/>
        <v>169</v>
      </c>
      <c r="W31">
        <f t="shared" si="5"/>
        <v>10</v>
      </c>
      <c r="X31">
        <f t="shared" si="6"/>
        <v>532</v>
      </c>
      <c r="Z31">
        <f>F31+K31-P31</f>
        <v>407</v>
      </c>
      <c r="AA31">
        <f t="shared" si="7"/>
        <v>40</v>
      </c>
      <c r="AB31">
        <f t="shared" si="8"/>
        <v>25</v>
      </c>
      <c r="AC31">
        <f t="shared" si="9"/>
        <v>115</v>
      </c>
      <c r="AE31">
        <f t="shared" si="10"/>
        <v>45</v>
      </c>
      <c r="AF31">
        <f t="shared" si="11"/>
        <v>6</v>
      </c>
      <c r="AG31">
        <f t="shared" si="12"/>
        <v>0</v>
      </c>
      <c r="AH31">
        <f t="shared" si="13"/>
        <v>21</v>
      </c>
      <c r="AJ31">
        <f t="shared" si="14"/>
        <v>12</v>
      </c>
      <c r="AK31">
        <f t="shared" si="15"/>
        <v>2</v>
      </c>
      <c r="AL31">
        <f t="shared" si="16"/>
        <v>0</v>
      </c>
      <c r="AM31">
        <f t="shared" si="17"/>
        <v>3</v>
      </c>
    </row>
    <row r="32" spans="1:39">
      <c r="A32">
        <v>1861.26</v>
      </c>
      <c r="B32">
        <v>1323</v>
      </c>
      <c r="C32">
        <v>178</v>
      </c>
      <c r="D32">
        <v>9</v>
      </c>
      <c r="E32">
        <v>541</v>
      </c>
      <c r="F32">
        <v>563</v>
      </c>
      <c r="G32">
        <v>36</v>
      </c>
      <c r="H32">
        <v>26</v>
      </c>
      <c r="I32">
        <v>133</v>
      </c>
      <c r="K32">
        <v>159</v>
      </c>
      <c r="L32">
        <v>14</v>
      </c>
      <c r="M32">
        <v>3</v>
      </c>
      <c r="N32">
        <v>55</v>
      </c>
      <c r="P32">
        <v>303</v>
      </c>
      <c r="Q32">
        <v>8</v>
      </c>
      <c r="R32">
        <v>4</v>
      </c>
      <c r="S32">
        <v>69</v>
      </c>
      <c r="U32">
        <f t="shared" si="3"/>
        <v>1467</v>
      </c>
      <c r="V32">
        <f t="shared" si="4"/>
        <v>172</v>
      </c>
      <c r="W32">
        <f t="shared" si="5"/>
        <v>10</v>
      </c>
      <c r="X32">
        <f t="shared" si="6"/>
        <v>555</v>
      </c>
      <c r="Z32">
        <f>F32+K32-P32</f>
        <v>419</v>
      </c>
      <c r="AA32">
        <f t="shared" si="7"/>
        <v>42</v>
      </c>
      <c r="AB32">
        <f t="shared" si="8"/>
        <v>25</v>
      </c>
      <c r="AC32">
        <f t="shared" si="9"/>
        <v>119</v>
      </c>
      <c r="AE32">
        <f t="shared" si="10"/>
        <v>45</v>
      </c>
      <c r="AF32">
        <f t="shared" si="11"/>
        <v>3</v>
      </c>
      <c r="AG32">
        <f t="shared" si="12"/>
        <v>0</v>
      </c>
      <c r="AH32">
        <f t="shared" si="13"/>
        <v>23</v>
      </c>
      <c r="AJ32">
        <f t="shared" si="14"/>
        <v>12</v>
      </c>
      <c r="AK32">
        <f t="shared" si="15"/>
        <v>2</v>
      </c>
      <c r="AL32">
        <f t="shared" si="16"/>
        <v>0</v>
      </c>
      <c r="AM32">
        <f t="shared" si="17"/>
        <v>4</v>
      </c>
    </row>
    <row r="33" spans="1:39">
      <c r="A33">
        <v>1921.3</v>
      </c>
      <c r="B33">
        <v>1356</v>
      </c>
      <c r="C33">
        <v>186</v>
      </c>
      <c r="D33">
        <v>11</v>
      </c>
      <c r="E33">
        <v>557</v>
      </c>
      <c r="F33">
        <v>580</v>
      </c>
      <c r="G33">
        <v>36</v>
      </c>
      <c r="H33">
        <v>27</v>
      </c>
      <c r="I33">
        <v>141</v>
      </c>
      <c r="K33">
        <v>162</v>
      </c>
      <c r="L33">
        <v>14</v>
      </c>
      <c r="M33">
        <v>3</v>
      </c>
      <c r="N33">
        <v>58</v>
      </c>
      <c r="P33">
        <v>313</v>
      </c>
      <c r="Q33">
        <v>8</v>
      </c>
      <c r="R33">
        <v>4</v>
      </c>
      <c r="S33">
        <v>72</v>
      </c>
      <c r="U33">
        <f t="shared" si="3"/>
        <v>1507</v>
      </c>
      <c r="V33">
        <f t="shared" si="4"/>
        <v>180</v>
      </c>
      <c r="W33">
        <f t="shared" si="5"/>
        <v>12</v>
      </c>
      <c r="X33">
        <f t="shared" si="6"/>
        <v>571</v>
      </c>
      <c r="Z33">
        <f>F33+K33-P33</f>
        <v>429</v>
      </c>
      <c r="AA33">
        <f t="shared" si="7"/>
        <v>42</v>
      </c>
      <c r="AB33">
        <f t="shared" si="8"/>
        <v>26</v>
      </c>
      <c r="AC33">
        <f t="shared" si="9"/>
        <v>127</v>
      </c>
      <c r="AE33">
        <f t="shared" si="10"/>
        <v>40</v>
      </c>
      <c r="AF33">
        <f t="shared" si="11"/>
        <v>8</v>
      </c>
      <c r="AG33">
        <f t="shared" si="12"/>
        <v>2</v>
      </c>
      <c r="AH33">
        <f t="shared" si="13"/>
        <v>16</v>
      </c>
      <c r="AJ33">
        <f t="shared" si="14"/>
        <v>10</v>
      </c>
      <c r="AK33">
        <f t="shared" si="15"/>
        <v>0</v>
      </c>
      <c r="AL33">
        <f t="shared" si="16"/>
        <v>1</v>
      </c>
      <c r="AM33">
        <f t="shared" si="17"/>
        <v>8</v>
      </c>
    </row>
    <row r="34" spans="1:39">
      <c r="A34">
        <v>1981.34</v>
      </c>
      <c r="B34">
        <v>1399</v>
      </c>
      <c r="C34">
        <v>194</v>
      </c>
      <c r="D34">
        <v>11</v>
      </c>
      <c r="E34">
        <v>577</v>
      </c>
      <c r="F34">
        <v>599</v>
      </c>
      <c r="G34">
        <v>36</v>
      </c>
      <c r="H34">
        <v>28</v>
      </c>
      <c r="I34">
        <v>148</v>
      </c>
      <c r="K34">
        <v>164</v>
      </c>
      <c r="L34">
        <v>14</v>
      </c>
      <c r="M34">
        <v>3</v>
      </c>
      <c r="N34">
        <v>64</v>
      </c>
      <c r="P34">
        <v>319</v>
      </c>
      <c r="Q34">
        <v>8</v>
      </c>
      <c r="R34">
        <v>4</v>
      </c>
      <c r="S34">
        <v>76</v>
      </c>
      <c r="U34">
        <f t="shared" si="3"/>
        <v>1554</v>
      </c>
      <c r="V34">
        <f t="shared" si="4"/>
        <v>188</v>
      </c>
      <c r="W34">
        <f t="shared" si="5"/>
        <v>12</v>
      </c>
      <c r="X34">
        <f t="shared" si="6"/>
        <v>589</v>
      </c>
      <c r="Z34">
        <f>F34+K34-P34</f>
        <v>444</v>
      </c>
      <c r="AA34">
        <f t="shared" si="7"/>
        <v>42</v>
      </c>
      <c r="AB34">
        <f t="shared" si="8"/>
        <v>27</v>
      </c>
      <c r="AC34">
        <f t="shared" si="9"/>
        <v>136</v>
      </c>
      <c r="AE34">
        <f t="shared" si="10"/>
        <v>47</v>
      </c>
      <c r="AF34">
        <f t="shared" si="11"/>
        <v>8</v>
      </c>
      <c r="AG34">
        <f t="shared" si="12"/>
        <v>0</v>
      </c>
      <c r="AH34">
        <f t="shared" si="13"/>
        <v>18</v>
      </c>
      <c r="AJ34">
        <f t="shared" si="14"/>
        <v>15</v>
      </c>
      <c r="AK34">
        <f t="shared" si="15"/>
        <v>0</v>
      </c>
      <c r="AL34">
        <f t="shared" si="16"/>
        <v>1</v>
      </c>
      <c r="AM34">
        <f t="shared" si="17"/>
        <v>9</v>
      </c>
    </row>
    <row r="35" spans="1:39">
      <c r="A35">
        <v>2041.38</v>
      </c>
      <c r="B35">
        <v>1437</v>
      </c>
      <c r="C35">
        <v>203</v>
      </c>
      <c r="D35">
        <v>11</v>
      </c>
      <c r="E35">
        <v>598</v>
      </c>
      <c r="F35">
        <v>613</v>
      </c>
      <c r="G35">
        <v>39</v>
      </c>
      <c r="H35">
        <v>30</v>
      </c>
      <c r="I35">
        <v>157</v>
      </c>
      <c r="K35">
        <v>172</v>
      </c>
      <c r="L35">
        <v>14</v>
      </c>
      <c r="M35">
        <v>3</v>
      </c>
      <c r="N35">
        <v>67</v>
      </c>
      <c r="P35">
        <v>327</v>
      </c>
      <c r="Q35">
        <v>8</v>
      </c>
      <c r="R35">
        <v>4</v>
      </c>
      <c r="S35">
        <v>83</v>
      </c>
      <c r="U35">
        <f t="shared" si="3"/>
        <v>1592</v>
      </c>
      <c r="V35">
        <f t="shared" si="4"/>
        <v>197</v>
      </c>
      <c r="W35">
        <f t="shared" si="5"/>
        <v>12</v>
      </c>
      <c r="X35">
        <f t="shared" si="6"/>
        <v>614</v>
      </c>
      <c r="Z35">
        <f>F35+K35-P35</f>
        <v>458</v>
      </c>
      <c r="AA35">
        <f t="shared" si="7"/>
        <v>45</v>
      </c>
      <c r="AB35">
        <f t="shared" si="8"/>
        <v>29</v>
      </c>
      <c r="AC35">
        <f t="shared" si="9"/>
        <v>141</v>
      </c>
      <c r="AE35">
        <f t="shared" si="10"/>
        <v>38</v>
      </c>
      <c r="AF35">
        <f t="shared" si="11"/>
        <v>9</v>
      </c>
      <c r="AG35">
        <f t="shared" si="12"/>
        <v>0</v>
      </c>
      <c r="AH35">
        <f t="shared" si="13"/>
        <v>25</v>
      </c>
      <c r="AJ35">
        <f t="shared" si="14"/>
        <v>14</v>
      </c>
      <c r="AK35">
        <f t="shared" si="15"/>
        <v>3</v>
      </c>
      <c r="AL35">
        <f t="shared" si="16"/>
        <v>2</v>
      </c>
      <c r="AM35">
        <f t="shared" si="17"/>
        <v>5</v>
      </c>
    </row>
    <row r="36" spans="1:39">
      <c r="A36">
        <v>2101.42</v>
      </c>
      <c r="B36">
        <v>1494</v>
      </c>
      <c r="C36">
        <v>207</v>
      </c>
      <c r="D36">
        <v>11</v>
      </c>
      <c r="E36">
        <v>609</v>
      </c>
      <c r="F36">
        <v>630</v>
      </c>
      <c r="G36">
        <v>39</v>
      </c>
      <c r="H36">
        <v>34</v>
      </c>
      <c r="I36">
        <v>168</v>
      </c>
      <c r="K36">
        <v>176</v>
      </c>
      <c r="L36">
        <v>16</v>
      </c>
      <c r="M36">
        <v>3</v>
      </c>
      <c r="N36">
        <v>68</v>
      </c>
      <c r="P36">
        <v>338</v>
      </c>
      <c r="Q36">
        <v>8</v>
      </c>
      <c r="R36">
        <v>4</v>
      </c>
      <c r="S36">
        <v>85</v>
      </c>
      <c r="U36">
        <f t="shared" si="3"/>
        <v>1656</v>
      </c>
      <c r="V36">
        <f t="shared" si="4"/>
        <v>199</v>
      </c>
      <c r="W36">
        <f t="shared" si="5"/>
        <v>12</v>
      </c>
      <c r="X36">
        <f t="shared" si="6"/>
        <v>626</v>
      </c>
      <c r="Z36">
        <f>F36+K36-P36</f>
        <v>468</v>
      </c>
      <c r="AA36">
        <f t="shared" si="7"/>
        <v>47</v>
      </c>
      <c r="AB36">
        <f t="shared" si="8"/>
        <v>33</v>
      </c>
      <c r="AC36">
        <f t="shared" si="9"/>
        <v>151</v>
      </c>
      <c r="AE36">
        <f t="shared" si="10"/>
        <v>64</v>
      </c>
      <c r="AF36">
        <f t="shared" si="11"/>
        <v>2</v>
      </c>
      <c r="AG36">
        <f t="shared" si="12"/>
        <v>0</v>
      </c>
      <c r="AH36">
        <f t="shared" si="13"/>
        <v>12</v>
      </c>
      <c r="AJ36">
        <f t="shared" si="14"/>
        <v>10</v>
      </c>
      <c r="AK36">
        <f t="shared" si="15"/>
        <v>2</v>
      </c>
      <c r="AL36">
        <f t="shared" si="16"/>
        <v>4</v>
      </c>
      <c r="AM36">
        <f t="shared" si="17"/>
        <v>10</v>
      </c>
    </row>
    <row r="37" spans="1:39">
      <c r="A37">
        <v>2161.46</v>
      </c>
      <c r="B37">
        <v>1565</v>
      </c>
      <c r="C37">
        <v>214</v>
      </c>
      <c r="D37">
        <v>12</v>
      </c>
      <c r="E37">
        <v>626</v>
      </c>
      <c r="F37">
        <v>651</v>
      </c>
      <c r="G37">
        <v>39</v>
      </c>
      <c r="H37">
        <v>36</v>
      </c>
      <c r="I37">
        <v>171</v>
      </c>
      <c r="K37">
        <v>184</v>
      </c>
      <c r="L37">
        <v>17</v>
      </c>
      <c r="M37">
        <v>3</v>
      </c>
      <c r="N37">
        <v>71</v>
      </c>
      <c r="P37">
        <v>348</v>
      </c>
      <c r="Q37">
        <v>8</v>
      </c>
      <c r="R37">
        <v>4</v>
      </c>
      <c r="S37">
        <v>87</v>
      </c>
      <c r="U37">
        <f t="shared" si="3"/>
        <v>1729</v>
      </c>
      <c r="V37">
        <f t="shared" si="4"/>
        <v>205</v>
      </c>
      <c r="W37">
        <f t="shared" si="5"/>
        <v>13</v>
      </c>
      <c r="X37">
        <f t="shared" si="6"/>
        <v>642</v>
      </c>
      <c r="Z37">
        <f>F37+K37-P37</f>
        <v>487</v>
      </c>
      <c r="AA37">
        <f t="shared" si="7"/>
        <v>48</v>
      </c>
      <c r="AB37">
        <f t="shared" si="8"/>
        <v>35</v>
      </c>
      <c r="AC37">
        <f t="shared" si="9"/>
        <v>155</v>
      </c>
      <c r="AE37">
        <f t="shared" si="10"/>
        <v>73</v>
      </c>
      <c r="AF37">
        <f t="shared" si="11"/>
        <v>6</v>
      </c>
      <c r="AG37">
        <f t="shared" si="12"/>
        <v>1</v>
      </c>
      <c r="AH37">
        <f t="shared" si="13"/>
        <v>16</v>
      </c>
      <c r="AJ37">
        <f t="shared" si="14"/>
        <v>19</v>
      </c>
      <c r="AK37">
        <f t="shared" si="15"/>
        <v>1</v>
      </c>
      <c r="AL37">
        <f t="shared" si="16"/>
        <v>2</v>
      </c>
      <c r="AM37">
        <f t="shared" si="17"/>
        <v>4</v>
      </c>
    </row>
    <row r="38" spans="1:39">
      <c r="A38">
        <v>2221.5100000000002</v>
      </c>
      <c r="B38">
        <v>1620</v>
      </c>
      <c r="C38">
        <v>219</v>
      </c>
      <c r="D38">
        <v>12</v>
      </c>
      <c r="E38">
        <v>640</v>
      </c>
      <c r="F38">
        <v>671</v>
      </c>
      <c r="G38">
        <v>42</v>
      </c>
      <c r="H38">
        <v>36</v>
      </c>
      <c r="I38">
        <v>178</v>
      </c>
      <c r="K38">
        <v>192</v>
      </c>
      <c r="L38">
        <v>17</v>
      </c>
      <c r="M38">
        <v>4</v>
      </c>
      <c r="N38">
        <v>74</v>
      </c>
      <c r="P38">
        <v>361</v>
      </c>
      <c r="Q38">
        <v>8</v>
      </c>
      <c r="R38">
        <v>4</v>
      </c>
      <c r="S38">
        <v>91</v>
      </c>
      <c r="U38">
        <f t="shared" si="3"/>
        <v>1789</v>
      </c>
      <c r="V38">
        <f t="shared" si="4"/>
        <v>210</v>
      </c>
      <c r="W38">
        <f t="shared" si="5"/>
        <v>12</v>
      </c>
      <c r="X38">
        <f t="shared" si="6"/>
        <v>657</v>
      </c>
      <c r="Z38">
        <f>F38+K38-P38</f>
        <v>502</v>
      </c>
      <c r="AA38">
        <f t="shared" si="7"/>
        <v>51</v>
      </c>
      <c r="AB38">
        <f t="shared" si="8"/>
        <v>36</v>
      </c>
      <c r="AC38">
        <f t="shared" si="9"/>
        <v>161</v>
      </c>
      <c r="AE38">
        <f t="shared" si="10"/>
        <v>60</v>
      </c>
      <c r="AF38">
        <f t="shared" si="11"/>
        <v>5</v>
      </c>
      <c r="AG38">
        <f t="shared" si="12"/>
        <v>-1</v>
      </c>
      <c r="AH38">
        <f t="shared" si="13"/>
        <v>15</v>
      </c>
      <c r="AJ38">
        <f t="shared" si="14"/>
        <v>15</v>
      </c>
      <c r="AK38">
        <f t="shared" si="15"/>
        <v>3</v>
      </c>
      <c r="AL38">
        <f t="shared" si="16"/>
        <v>1</v>
      </c>
      <c r="AM38">
        <f t="shared" si="17"/>
        <v>6</v>
      </c>
    </row>
    <row r="39" spans="1:39">
      <c r="A39">
        <v>2281.5500000000002</v>
      </c>
      <c r="B39">
        <v>1660</v>
      </c>
      <c r="C39">
        <v>223</v>
      </c>
      <c r="D39">
        <v>12</v>
      </c>
      <c r="E39">
        <v>659</v>
      </c>
      <c r="F39">
        <v>693</v>
      </c>
      <c r="G39">
        <v>43</v>
      </c>
      <c r="H39">
        <v>36</v>
      </c>
      <c r="I39">
        <v>186</v>
      </c>
      <c r="K39">
        <v>197</v>
      </c>
      <c r="L39">
        <v>17</v>
      </c>
      <c r="M39">
        <v>4</v>
      </c>
      <c r="N39">
        <v>78</v>
      </c>
      <c r="P39">
        <v>371</v>
      </c>
      <c r="Q39">
        <v>8</v>
      </c>
      <c r="R39">
        <v>4</v>
      </c>
      <c r="S39">
        <v>93</v>
      </c>
      <c r="U39">
        <f t="shared" si="3"/>
        <v>1834</v>
      </c>
      <c r="V39">
        <f t="shared" si="4"/>
        <v>214</v>
      </c>
      <c r="W39">
        <f t="shared" si="5"/>
        <v>12</v>
      </c>
      <c r="X39">
        <f t="shared" si="6"/>
        <v>674</v>
      </c>
      <c r="Z39">
        <f>F39+K39-P39</f>
        <v>519</v>
      </c>
      <c r="AA39">
        <f t="shared" si="7"/>
        <v>52</v>
      </c>
      <c r="AB39">
        <f t="shared" si="8"/>
        <v>36</v>
      </c>
      <c r="AC39">
        <f t="shared" si="9"/>
        <v>171</v>
      </c>
      <c r="AE39">
        <f t="shared" si="10"/>
        <v>45</v>
      </c>
      <c r="AF39">
        <f t="shared" si="11"/>
        <v>4</v>
      </c>
      <c r="AG39">
        <f t="shared" si="12"/>
        <v>0</v>
      </c>
      <c r="AH39">
        <f t="shared" si="13"/>
        <v>17</v>
      </c>
      <c r="AJ39">
        <f t="shared" si="14"/>
        <v>17</v>
      </c>
      <c r="AK39">
        <f t="shared" si="15"/>
        <v>1</v>
      </c>
      <c r="AL39">
        <f t="shared" si="16"/>
        <v>0</v>
      </c>
      <c r="AM39">
        <f t="shared" si="17"/>
        <v>10</v>
      </c>
    </row>
    <row r="40" spans="1:39">
      <c r="A40">
        <v>2341.59</v>
      </c>
      <c r="B40">
        <v>1702</v>
      </c>
      <c r="C40">
        <v>229</v>
      </c>
      <c r="D40">
        <v>13</v>
      </c>
      <c r="E40">
        <v>671</v>
      </c>
      <c r="F40">
        <v>717</v>
      </c>
      <c r="G40">
        <v>44</v>
      </c>
      <c r="H40">
        <v>37</v>
      </c>
      <c r="I40">
        <v>190</v>
      </c>
      <c r="K40">
        <v>205</v>
      </c>
      <c r="L40">
        <v>17</v>
      </c>
      <c r="M40">
        <v>5</v>
      </c>
      <c r="N40">
        <v>82</v>
      </c>
      <c r="P40">
        <v>382</v>
      </c>
      <c r="Q40">
        <v>8</v>
      </c>
      <c r="R40">
        <v>4</v>
      </c>
      <c r="S40">
        <v>95</v>
      </c>
      <c r="U40">
        <f t="shared" si="3"/>
        <v>1879</v>
      </c>
      <c r="V40">
        <f t="shared" si="4"/>
        <v>220</v>
      </c>
      <c r="W40">
        <f t="shared" si="5"/>
        <v>12</v>
      </c>
      <c r="X40">
        <f t="shared" si="6"/>
        <v>684</v>
      </c>
      <c r="Z40">
        <f>F40+K40-P40</f>
        <v>540</v>
      </c>
      <c r="AA40">
        <f t="shared" si="7"/>
        <v>53</v>
      </c>
      <c r="AB40">
        <f t="shared" si="8"/>
        <v>38</v>
      </c>
      <c r="AC40">
        <f t="shared" si="9"/>
        <v>177</v>
      </c>
      <c r="AE40">
        <f t="shared" si="10"/>
        <v>45</v>
      </c>
      <c r="AF40">
        <f t="shared" si="11"/>
        <v>6</v>
      </c>
      <c r="AG40">
        <f t="shared" si="12"/>
        <v>0</v>
      </c>
      <c r="AH40">
        <f t="shared" si="13"/>
        <v>10</v>
      </c>
      <c r="AJ40">
        <f t="shared" si="14"/>
        <v>21</v>
      </c>
      <c r="AK40">
        <f t="shared" si="15"/>
        <v>1</v>
      </c>
      <c r="AL40">
        <f t="shared" si="16"/>
        <v>2</v>
      </c>
      <c r="AM40">
        <f t="shared" si="17"/>
        <v>6</v>
      </c>
    </row>
    <row r="41" spans="1:39">
      <c r="A41">
        <v>2401.63</v>
      </c>
      <c r="B41">
        <v>1741</v>
      </c>
      <c r="C41">
        <v>233</v>
      </c>
      <c r="D41">
        <v>13</v>
      </c>
      <c r="E41">
        <v>684</v>
      </c>
      <c r="F41">
        <v>736</v>
      </c>
      <c r="G41">
        <v>47</v>
      </c>
      <c r="H41">
        <v>37</v>
      </c>
      <c r="I41">
        <v>195</v>
      </c>
      <c r="K41">
        <v>213</v>
      </c>
      <c r="L41">
        <v>19</v>
      </c>
      <c r="M41">
        <v>5</v>
      </c>
      <c r="N41">
        <v>84</v>
      </c>
      <c r="P41">
        <v>389</v>
      </c>
      <c r="Q41">
        <v>8</v>
      </c>
      <c r="R41">
        <v>4</v>
      </c>
      <c r="S41">
        <v>96</v>
      </c>
      <c r="U41">
        <f t="shared" si="3"/>
        <v>1917</v>
      </c>
      <c r="V41">
        <f t="shared" si="4"/>
        <v>222</v>
      </c>
      <c r="W41">
        <f t="shared" si="5"/>
        <v>12</v>
      </c>
      <c r="X41">
        <f t="shared" si="6"/>
        <v>696</v>
      </c>
      <c r="Z41">
        <f>F41+K41-P41</f>
        <v>560</v>
      </c>
      <c r="AA41">
        <f t="shared" si="7"/>
        <v>58</v>
      </c>
      <c r="AB41">
        <f t="shared" si="8"/>
        <v>38</v>
      </c>
      <c r="AC41">
        <f t="shared" si="9"/>
        <v>183</v>
      </c>
      <c r="AE41">
        <f t="shared" si="10"/>
        <v>38</v>
      </c>
      <c r="AF41">
        <f t="shared" si="11"/>
        <v>2</v>
      </c>
      <c r="AG41">
        <f t="shared" si="12"/>
        <v>0</v>
      </c>
      <c r="AH41">
        <f t="shared" si="13"/>
        <v>12</v>
      </c>
      <c r="AJ41">
        <f t="shared" si="14"/>
        <v>20</v>
      </c>
      <c r="AK41">
        <f t="shared" si="15"/>
        <v>5</v>
      </c>
      <c r="AL41">
        <f t="shared" si="16"/>
        <v>0</v>
      </c>
      <c r="AM41">
        <f t="shared" si="17"/>
        <v>6</v>
      </c>
    </row>
    <row r="42" spans="1:39">
      <c r="A42">
        <v>2461.67</v>
      </c>
      <c r="B42">
        <v>1783</v>
      </c>
      <c r="C42">
        <v>241</v>
      </c>
      <c r="D42">
        <v>14</v>
      </c>
      <c r="E42">
        <v>708</v>
      </c>
      <c r="F42">
        <v>758</v>
      </c>
      <c r="G42">
        <v>47</v>
      </c>
      <c r="H42">
        <v>37</v>
      </c>
      <c r="I42">
        <v>200</v>
      </c>
      <c r="K42">
        <v>215</v>
      </c>
      <c r="L42">
        <v>20</v>
      </c>
      <c r="M42">
        <v>5</v>
      </c>
      <c r="N42">
        <v>86</v>
      </c>
      <c r="P42">
        <v>401</v>
      </c>
      <c r="Q42">
        <v>9</v>
      </c>
      <c r="R42">
        <v>4</v>
      </c>
      <c r="S42">
        <v>99</v>
      </c>
      <c r="U42">
        <f t="shared" si="3"/>
        <v>1969</v>
      </c>
      <c r="V42">
        <f t="shared" si="4"/>
        <v>230</v>
      </c>
      <c r="W42">
        <f t="shared" si="5"/>
        <v>13</v>
      </c>
      <c r="X42">
        <f t="shared" si="6"/>
        <v>721</v>
      </c>
      <c r="Z42">
        <f>F42+K42-P42</f>
        <v>572</v>
      </c>
      <c r="AA42">
        <f t="shared" si="7"/>
        <v>58</v>
      </c>
      <c r="AB42">
        <f t="shared" si="8"/>
        <v>38</v>
      </c>
      <c r="AC42">
        <f t="shared" si="9"/>
        <v>187</v>
      </c>
      <c r="AE42">
        <f t="shared" si="10"/>
        <v>52</v>
      </c>
      <c r="AF42">
        <f t="shared" si="11"/>
        <v>8</v>
      </c>
      <c r="AG42">
        <f t="shared" si="12"/>
        <v>1</v>
      </c>
      <c r="AH42">
        <f t="shared" si="13"/>
        <v>25</v>
      </c>
      <c r="AJ42">
        <f t="shared" si="14"/>
        <v>12</v>
      </c>
      <c r="AK42">
        <f t="shared" si="15"/>
        <v>0</v>
      </c>
      <c r="AL42">
        <f t="shared" si="16"/>
        <v>0</v>
      </c>
      <c r="AM42">
        <f t="shared" si="17"/>
        <v>4</v>
      </c>
    </row>
    <row r="43" spans="1:39">
      <c r="A43">
        <v>2521.71</v>
      </c>
      <c r="B43">
        <v>1832</v>
      </c>
      <c r="C43">
        <v>247</v>
      </c>
      <c r="D43">
        <v>15</v>
      </c>
      <c r="E43">
        <v>724</v>
      </c>
      <c r="F43">
        <v>780</v>
      </c>
      <c r="G43">
        <v>47</v>
      </c>
      <c r="H43">
        <v>37</v>
      </c>
      <c r="I43">
        <v>203</v>
      </c>
      <c r="K43">
        <v>222</v>
      </c>
      <c r="L43">
        <v>20</v>
      </c>
      <c r="M43">
        <v>5</v>
      </c>
      <c r="N43">
        <v>89</v>
      </c>
      <c r="P43">
        <v>412</v>
      </c>
      <c r="Q43">
        <v>9</v>
      </c>
      <c r="R43">
        <v>4</v>
      </c>
      <c r="S43">
        <v>100</v>
      </c>
      <c r="U43">
        <f t="shared" si="3"/>
        <v>2022</v>
      </c>
      <c r="V43">
        <f t="shared" si="4"/>
        <v>236</v>
      </c>
      <c r="W43">
        <f t="shared" si="5"/>
        <v>14</v>
      </c>
      <c r="X43">
        <f t="shared" si="6"/>
        <v>735</v>
      </c>
      <c r="Z43">
        <f>F43+K43-P43</f>
        <v>590</v>
      </c>
      <c r="AA43">
        <f t="shared" si="7"/>
        <v>58</v>
      </c>
      <c r="AB43">
        <f t="shared" si="8"/>
        <v>38</v>
      </c>
      <c r="AC43">
        <f t="shared" si="9"/>
        <v>192</v>
      </c>
      <c r="AE43">
        <f t="shared" si="10"/>
        <v>53</v>
      </c>
      <c r="AF43">
        <f t="shared" si="11"/>
        <v>6</v>
      </c>
      <c r="AG43">
        <f t="shared" si="12"/>
        <v>1</v>
      </c>
      <c r="AH43">
        <f t="shared" si="13"/>
        <v>14</v>
      </c>
      <c r="AJ43">
        <f t="shared" si="14"/>
        <v>18</v>
      </c>
      <c r="AK43">
        <f t="shared" si="15"/>
        <v>0</v>
      </c>
      <c r="AL43">
        <f t="shared" si="16"/>
        <v>0</v>
      </c>
      <c r="AM43">
        <f t="shared" si="17"/>
        <v>5</v>
      </c>
    </row>
    <row r="44" spans="1:39">
      <c r="A44">
        <v>2581.75</v>
      </c>
      <c r="B44">
        <v>1869</v>
      </c>
      <c r="C44">
        <v>258</v>
      </c>
      <c r="D44">
        <v>17</v>
      </c>
      <c r="E44">
        <v>744</v>
      </c>
      <c r="F44">
        <v>814</v>
      </c>
      <c r="G44">
        <v>48</v>
      </c>
      <c r="H44">
        <v>38</v>
      </c>
      <c r="I44">
        <v>205</v>
      </c>
      <c r="K44">
        <v>230</v>
      </c>
      <c r="L44">
        <v>21</v>
      </c>
      <c r="M44">
        <v>5</v>
      </c>
      <c r="N44">
        <v>90</v>
      </c>
      <c r="P44">
        <v>425</v>
      </c>
      <c r="Q44">
        <v>10</v>
      </c>
      <c r="R44">
        <v>5</v>
      </c>
      <c r="S44">
        <v>101</v>
      </c>
      <c r="U44">
        <f t="shared" si="3"/>
        <v>2064</v>
      </c>
      <c r="V44">
        <f t="shared" si="4"/>
        <v>247</v>
      </c>
      <c r="W44">
        <f t="shared" si="5"/>
        <v>17</v>
      </c>
      <c r="X44">
        <f t="shared" si="6"/>
        <v>755</v>
      </c>
      <c r="Z44">
        <f>F44+K44-P44</f>
        <v>619</v>
      </c>
      <c r="AA44">
        <f t="shared" si="7"/>
        <v>59</v>
      </c>
      <c r="AB44">
        <f t="shared" si="8"/>
        <v>38</v>
      </c>
      <c r="AC44">
        <f t="shared" si="9"/>
        <v>194</v>
      </c>
      <c r="AE44">
        <f t="shared" si="10"/>
        <v>42</v>
      </c>
      <c r="AF44">
        <f t="shared" si="11"/>
        <v>11</v>
      </c>
      <c r="AG44">
        <f t="shared" si="12"/>
        <v>3</v>
      </c>
      <c r="AH44">
        <f t="shared" si="13"/>
        <v>20</v>
      </c>
      <c r="AJ44">
        <f t="shared" si="14"/>
        <v>29</v>
      </c>
      <c r="AK44">
        <f t="shared" si="15"/>
        <v>1</v>
      </c>
      <c r="AL44">
        <f t="shared" si="16"/>
        <v>0</v>
      </c>
      <c r="AM44">
        <f t="shared" si="17"/>
        <v>2</v>
      </c>
    </row>
    <row r="45" spans="1:39">
      <c r="A45">
        <v>2641.79</v>
      </c>
      <c r="B45">
        <v>1902</v>
      </c>
      <c r="C45">
        <v>262</v>
      </c>
      <c r="D45">
        <v>17</v>
      </c>
      <c r="E45">
        <v>766</v>
      </c>
      <c r="F45">
        <v>840</v>
      </c>
      <c r="G45">
        <v>48</v>
      </c>
      <c r="H45">
        <v>39</v>
      </c>
      <c r="I45">
        <v>205</v>
      </c>
      <c r="K45">
        <v>239</v>
      </c>
      <c r="L45">
        <v>21</v>
      </c>
      <c r="M45">
        <v>5</v>
      </c>
      <c r="N45">
        <v>90</v>
      </c>
      <c r="P45">
        <v>441</v>
      </c>
      <c r="Q45">
        <v>10</v>
      </c>
      <c r="R45">
        <v>5</v>
      </c>
      <c r="S45">
        <v>101</v>
      </c>
      <c r="U45">
        <f t="shared" si="3"/>
        <v>2104</v>
      </c>
      <c r="V45">
        <f t="shared" si="4"/>
        <v>251</v>
      </c>
      <c r="W45">
        <f t="shared" si="5"/>
        <v>17</v>
      </c>
      <c r="X45">
        <f t="shared" si="6"/>
        <v>777</v>
      </c>
      <c r="Z45">
        <f>F45+K45-P45</f>
        <v>638</v>
      </c>
      <c r="AA45">
        <f t="shared" si="7"/>
        <v>59</v>
      </c>
      <c r="AB45">
        <f t="shared" si="8"/>
        <v>39</v>
      </c>
      <c r="AC45">
        <f t="shared" si="9"/>
        <v>194</v>
      </c>
      <c r="AE45">
        <f t="shared" si="10"/>
        <v>40</v>
      </c>
      <c r="AF45">
        <f t="shared" si="11"/>
        <v>4</v>
      </c>
      <c r="AG45">
        <f t="shared" si="12"/>
        <v>0</v>
      </c>
      <c r="AH45">
        <f t="shared" si="13"/>
        <v>22</v>
      </c>
      <c r="AJ45">
        <f t="shared" si="14"/>
        <v>19</v>
      </c>
      <c r="AK45">
        <f t="shared" si="15"/>
        <v>0</v>
      </c>
      <c r="AL45">
        <f t="shared" si="16"/>
        <v>1</v>
      </c>
      <c r="AM45">
        <f t="shared" si="17"/>
        <v>0</v>
      </c>
    </row>
    <row r="46" spans="1:39">
      <c r="A46">
        <v>2701.83</v>
      </c>
      <c r="B46">
        <v>1948</v>
      </c>
      <c r="C46">
        <v>269</v>
      </c>
      <c r="D46">
        <v>17</v>
      </c>
      <c r="E46">
        <v>781</v>
      </c>
      <c r="F46">
        <v>863</v>
      </c>
      <c r="G46">
        <v>49</v>
      </c>
      <c r="H46">
        <v>40</v>
      </c>
      <c r="I46">
        <v>206</v>
      </c>
      <c r="K46">
        <v>245</v>
      </c>
      <c r="L46">
        <v>21</v>
      </c>
      <c r="M46">
        <v>5</v>
      </c>
      <c r="N46">
        <v>92</v>
      </c>
      <c r="P46">
        <v>451</v>
      </c>
      <c r="Q46">
        <v>10</v>
      </c>
      <c r="R46">
        <v>5</v>
      </c>
      <c r="S46">
        <v>101</v>
      </c>
      <c r="U46">
        <f t="shared" si="3"/>
        <v>2154</v>
      </c>
      <c r="V46">
        <f t="shared" si="4"/>
        <v>258</v>
      </c>
      <c r="W46">
        <f t="shared" si="5"/>
        <v>17</v>
      </c>
      <c r="X46">
        <f t="shared" si="6"/>
        <v>790</v>
      </c>
      <c r="Z46">
        <f>F46+K46-P46</f>
        <v>657</v>
      </c>
      <c r="AA46">
        <f t="shared" si="7"/>
        <v>60</v>
      </c>
      <c r="AB46">
        <f t="shared" si="8"/>
        <v>40</v>
      </c>
      <c r="AC46">
        <f t="shared" si="9"/>
        <v>197</v>
      </c>
      <c r="AE46">
        <f t="shared" si="10"/>
        <v>50</v>
      </c>
      <c r="AF46">
        <f t="shared" si="11"/>
        <v>7</v>
      </c>
      <c r="AG46">
        <f t="shared" si="12"/>
        <v>0</v>
      </c>
      <c r="AH46">
        <f t="shared" si="13"/>
        <v>13</v>
      </c>
      <c r="AJ46">
        <f t="shared" si="14"/>
        <v>19</v>
      </c>
      <c r="AK46">
        <f t="shared" si="15"/>
        <v>1</v>
      </c>
      <c r="AL46">
        <f t="shared" si="16"/>
        <v>1</v>
      </c>
      <c r="AM46">
        <f t="shared" si="17"/>
        <v>3</v>
      </c>
    </row>
    <row r="47" spans="1:39">
      <c r="A47">
        <v>2761.87</v>
      </c>
      <c r="B47">
        <v>1980</v>
      </c>
      <c r="C47">
        <v>275</v>
      </c>
      <c r="D47">
        <v>19</v>
      </c>
      <c r="E47">
        <v>799</v>
      </c>
      <c r="F47">
        <v>887</v>
      </c>
      <c r="G47">
        <v>51</v>
      </c>
      <c r="H47">
        <v>41</v>
      </c>
      <c r="I47">
        <v>207</v>
      </c>
      <c r="K47">
        <v>252</v>
      </c>
      <c r="L47">
        <v>21</v>
      </c>
      <c r="M47">
        <v>6</v>
      </c>
      <c r="N47">
        <v>94</v>
      </c>
      <c r="P47">
        <v>464</v>
      </c>
      <c r="Q47">
        <v>10</v>
      </c>
      <c r="R47">
        <v>5</v>
      </c>
      <c r="S47">
        <v>102</v>
      </c>
      <c r="U47">
        <f t="shared" si="3"/>
        <v>2192</v>
      </c>
      <c r="V47">
        <f t="shared" si="4"/>
        <v>264</v>
      </c>
      <c r="W47">
        <f t="shared" si="5"/>
        <v>18</v>
      </c>
      <c r="X47">
        <f t="shared" si="6"/>
        <v>807</v>
      </c>
      <c r="Z47">
        <f>F47+K47-P47</f>
        <v>675</v>
      </c>
      <c r="AA47">
        <f t="shared" si="7"/>
        <v>62</v>
      </c>
      <c r="AB47">
        <f t="shared" si="8"/>
        <v>42</v>
      </c>
      <c r="AC47">
        <f t="shared" si="9"/>
        <v>199</v>
      </c>
      <c r="AE47">
        <f t="shared" si="10"/>
        <v>38</v>
      </c>
      <c r="AF47">
        <f t="shared" si="11"/>
        <v>6</v>
      </c>
      <c r="AG47">
        <f t="shared" si="12"/>
        <v>1</v>
      </c>
      <c r="AH47">
        <f t="shared" si="13"/>
        <v>17</v>
      </c>
      <c r="AJ47">
        <f t="shared" si="14"/>
        <v>18</v>
      </c>
      <c r="AK47">
        <f t="shared" si="15"/>
        <v>2</v>
      </c>
      <c r="AL47">
        <f t="shared" si="16"/>
        <v>2</v>
      </c>
      <c r="AM47">
        <f t="shared" si="17"/>
        <v>2</v>
      </c>
    </row>
    <row r="48" spans="1:39">
      <c r="A48">
        <v>2821.91</v>
      </c>
      <c r="B48">
        <v>2018</v>
      </c>
      <c r="C48">
        <v>281</v>
      </c>
      <c r="D48">
        <v>19</v>
      </c>
      <c r="E48">
        <v>812</v>
      </c>
      <c r="F48">
        <v>909</v>
      </c>
      <c r="G48">
        <v>53</v>
      </c>
      <c r="H48">
        <v>42</v>
      </c>
      <c r="I48">
        <v>211</v>
      </c>
      <c r="K48">
        <v>260</v>
      </c>
      <c r="L48">
        <v>21</v>
      </c>
      <c r="M48">
        <v>7</v>
      </c>
      <c r="N48">
        <v>95</v>
      </c>
      <c r="P48">
        <v>473</v>
      </c>
      <c r="Q48">
        <v>10</v>
      </c>
      <c r="R48">
        <v>5</v>
      </c>
      <c r="S48">
        <v>108</v>
      </c>
      <c r="U48">
        <f t="shared" si="3"/>
        <v>2231</v>
      </c>
      <c r="V48">
        <f t="shared" si="4"/>
        <v>270</v>
      </c>
      <c r="W48">
        <f t="shared" si="5"/>
        <v>17</v>
      </c>
      <c r="X48">
        <f t="shared" si="6"/>
        <v>825</v>
      </c>
      <c r="Z48">
        <f>F48+K48-P48</f>
        <v>696</v>
      </c>
      <c r="AA48">
        <f t="shared" si="7"/>
        <v>64</v>
      </c>
      <c r="AB48">
        <f t="shared" si="8"/>
        <v>44</v>
      </c>
      <c r="AC48">
        <f t="shared" si="9"/>
        <v>198</v>
      </c>
      <c r="AE48">
        <f t="shared" si="10"/>
        <v>39</v>
      </c>
      <c r="AF48">
        <f t="shared" si="11"/>
        <v>6</v>
      </c>
      <c r="AG48">
        <f t="shared" si="12"/>
        <v>-1</v>
      </c>
      <c r="AH48">
        <f t="shared" si="13"/>
        <v>18</v>
      </c>
      <c r="AJ48">
        <f t="shared" si="14"/>
        <v>21</v>
      </c>
      <c r="AK48">
        <f t="shared" si="15"/>
        <v>2</v>
      </c>
      <c r="AL48">
        <f t="shared" si="16"/>
        <v>2</v>
      </c>
      <c r="AM48">
        <f t="shared" si="17"/>
        <v>-1</v>
      </c>
    </row>
    <row r="49" spans="1:39">
      <c r="A49">
        <v>2881.95</v>
      </c>
      <c r="B49">
        <v>2053</v>
      </c>
      <c r="C49">
        <v>288</v>
      </c>
      <c r="D49">
        <v>19</v>
      </c>
      <c r="E49">
        <v>830</v>
      </c>
      <c r="F49">
        <v>933</v>
      </c>
      <c r="G49">
        <v>53</v>
      </c>
      <c r="H49">
        <v>42</v>
      </c>
      <c r="I49">
        <v>216</v>
      </c>
      <c r="K49">
        <v>270</v>
      </c>
      <c r="L49">
        <v>21</v>
      </c>
      <c r="M49">
        <v>7</v>
      </c>
      <c r="N49">
        <v>98</v>
      </c>
      <c r="P49">
        <v>486</v>
      </c>
      <c r="Q49">
        <v>10</v>
      </c>
      <c r="R49">
        <v>5</v>
      </c>
      <c r="S49">
        <v>109</v>
      </c>
      <c r="U49">
        <f t="shared" si="3"/>
        <v>2269</v>
      </c>
      <c r="V49">
        <f t="shared" si="4"/>
        <v>277</v>
      </c>
      <c r="W49">
        <f t="shared" si="5"/>
        <v>17</v>
      </c>
      <c r="X49">
        <f t="shared" si="6"/>
        <v>841</v>
      </c>
      <c r="Z49">
        <f>F49+K49-P49</f>
        <v>717</v>
      </c>
      <c r="AA49">
        <f t="shared" si="7"/>
        <v>64</v>
      </c>
      <c r="AB49">
        <f t="shared" si="8"/>
        <v>44</v>
      </c>
      <c r="AC49">
        <f t="shared" si="9"/>
        <v>205</v>
      </c>
      <c r="AE49">
        <f t="shared" si="10"/>
        <v>38</v>
      </c>
      <c r="AF49">
        <f t="shared" si="11"/>
        <v>7</v>
      </c>
      <c r="AG49">
        <f t="shared" si="12"/>
        <v>0</v>
      </c>
      <c r="AH49">
        <f t="shared" si="13"/>
        <v>16</v>
      </c>
      <c r="AJ49">
        <f t="shared" si="14"/>
        <v>21</v>
      </c>
      <c r="AK49">
        <f t="shared" si="15"/>
        <v>0</v>
      </c>
      <c r="AL49">
        <f t="shared" si="16"/>
        <v>0</v>
      </c>
      <c r="AM49">
        <f t="shared" si="17"/>
        <v>7</v>
      </c>
    </row>
    <row r="50" spans="1:39">
      <c r="A50">
        <v>2941.99</v>
      </c>
      <c r="B50">
        <v>2094</v>
      </c>
      <c r="C50">
        <v>289</v>
      </c>
      <c r="D50">
        <v>19</v>
      </c>
      <c r="E50">
        <v>851</v>
      </c>
      <c r="F50">
        <v>953</v>
      </c>
      <c r="G50">
        <v>54</v>
      </c>
      <c r="H50">
        <v>43</v>
      </c>
      <c r="I50">
        <v>222</v>
      </c>
      <c r="K50">
        <v>273</v>
      </c>
      <c r="L50">
        <v>21</v>
      </c>
      <c r="M50">
        <v>7</v>
      </c>
      <c r="N50">
        <v>99</v>
      </c>
      <c r="P50">
        <v>492</v>
      </c>
      <c r="Q50">
        <v>11</v>
      </c>
      <c r="R50">
        <v>5</v>
      </c>
      <c r="S50">
        <v>114</v>
      </c>
      <c r="U50">
        <f t="shared" si="3"/>
        <v>2313</v>
      </c>
      <c r="V50">
        <f t="shared" si="4"/>
        <v>279</v>
      </c>
      <c r="W50">
        <f t="shared" si="5"/>
        <v>17</v>
      </c>
      <c r="X50">
        <f t="shared" si="6"/>
        <v>866</v>
      </c>
      <c r="Z50">
        <f>F50+K50-P50</f>
        <v>734</v>
      </c>
      <c r="AA50">
        <f t="shared" si="7"/>
        <v>64</v>
      </c>
      <c r="AB50">
        <f t="shared" si="8"/>
        <v>45</v>
      </c>
      <c r="AC50">
        <f t="shared" si="9"/>
        <v>207</v>
      </c>
      <c r="AE50">
        <f t="shared" si="10"/>
        <v>44</v>
      </c>
      <c r="AF50">
        <f t="shared" si="11"/>
        <v>2</v>
      </c>
      <c r="AG50">
        <f t="shared" si="12"/>
        <v>0</v>
      </c>
      <c r="AH50">
        <f t="shared" si="13"/>
        <v>25</v>
      </c>
      <c r="AJ50">
        <f t="shared" si="14"/>
        <v>17</v>
      </c>
      <c r="AK50">
        <f t="shared" si="15"/>
        <v>0</v>
      </c>
      <c r="AL50">
        <f t="shared" si="16"/>
        <v>1</v>
      </c>
      <c r="AM50">
        <f t="shared" si="17"/>
        <v>2</v>
      </c>
    </row>
    <row r="51" spans="1:39">
      <c r="A51">
        <v>3002.03</v>
      </c>
      <c r="B51">
        <v>2140</v>
      </c>
      <c r="C51">
        <v>295</v>
      </c>
      <c r="D51">
        <v>19</v>
      </c>
      <c r="E51">
        <v>865</v>
      </c>
      <c r="F51">
        <v>972</v>
      </c>
      <c r="G51">
        <v>55</v>
      </c>
      <c r="H51">
        <v>45</v>
      </c>
      <c r="I51">
        <v>224</v>
      </c>
      <c r="K51">
        <v>279</v>
      </c>
      <c r="L51">
        <v>21</v>
      </c>
      <c r="M51">
        <v>7</v>
      </c>
      <c r="N51">
        <v>101</v>
      </c>
      <c r="P51">
        <v>502</v>
      </c>
      <c r="Q51">
        <v>11</v>
      </c>
      <c r="R51">
        <v>5</v>
      </c>
      <c r="S51">
        <v>119</v>
      </c>
      <c r="U51">
        <f t="shared" si="3"/>
        <v>2363</v>
      </c>
      <c r="V51">
        <f t="shared" si="4"/>
        <v>285</v>
      </c>
      <c r="W51">
        <f t="shared" si="5"/>
        <v>17</v>
      </c>
      <c r="X51">
        <f t="shared" si="6"/>
        <v>883</v>
      </c>
      <c r="Z51">
        <f>F51+K51-P51</f>
        <v>749</v>
      </c>
      <c r="AA51">
        <f t="shared" si="7"/>
        <v>65</v>
      </c>
      <c r="AB51">
        <f t="shared" si="8"/>
        <v>47</v>
      </c>
      <c r="AC51">
        <f t="shared" si="9"/>
        <v>206</v>
      </c>
      <c r="AE51">
        <f t="shared" si="10"/>
        <v>50</v>
      </c>
      <c r="AF51">
        <f t="shared" si="11"/>
        <v>6</v>
      </c>
      <c r="AG51">
        <f t="shared" si="12"/>
        <v>0</v>
      </c>
      <c r="AH51">
        <f t="shared" si="13"/>
        <v>17</v>
      </c>
      <c r="AJ51">
        <f t="shared" si="14"/>
        <v>15</v>
      </c>
      <c r="AK51">
        <f t="shared" si="15"/>
        <v>1</v>
      </c>
      <c r="AL51">
        <f t="shared" si="16"/>
        <v>2</v>
      </c>
      <c r="AM51">
        <f t="shared" si="17"/>
        <v>-1</v>
      </c>
    </row>
    <row r="52" spans="1:39">
      <c r="A52">
        <v>3062.08</v>
      </c>
      <c r="B52">
        <v>2183</v>
      </c>
      <c r="C52">
        <v>302</v>
      </c>
      <c r="D52">
        <v>19</v>
      </c>
      <c r="E52">
        <v>877</v>
      </c>
      <c r="F52">
        <v>986</v>
      </c>
      <c r="G52">
        <v>56</v>
      </c>
      <c r="H52">
        <v>45</v>
      </c>
      <c r="I52">
        <v>229</v>
      </c>
      <c r="K52">
        <v>286</v>
      </c>
      <c r="L52">
        <v>22</v>
      </c>
      <c r="M52">
        <v>7</v>
      </c>
      <c r="N52">
        <v>103</v>
      </c>
      <c r="P52">
        <v>511</v>
      </c>
      <c r="Q52">
        <v>11</v>
      </c>
      <c r="R52">
        <v>5</v>
      </c>
      <c r="S52">
        <v>120</v>
      </c>
      <c r="U52">
        <f t="shared" si="3"/>
        <v>2408</v>
      </c>
      <c r="V52">
        <f t="shared" si="4"/>
        <v>291</v>
      </c>
      <c r="W52">
        <f t="shared" si="5"/>
        <v>17</v>
      </c>
      <c r="X52">
        <f t="shared" si="6"/>
        <v>894</v>
      </c>
      <c r="Z52">
        <f>F52+K52-P52</f>
        <v>761</v>
      </c>
      <c r="AA52">
        <f t="shared" si="7"/>
        <v>67</v>
      </c>
      <c r="AB52">
        <f t="shared" si="8"/>
        <v>47</v>
      </c>
      <c r="AC52">
        <f t="shared" si="9"/>
        <v>212</v>
      </c>
      <c r="AE52">
        <f t="shared" si="10"/>
        <v>45</v>
      </c>
      <c r="AF52">
        <f t="shared" si="11"/>
        <v>6</v>
      </c>
      <c r="AG52">
        <f t="shared" si="12"/>
        <v>0</v>
      </c>
      <c r="AH52">
        <f t="shared" si="13"/>
        <v>11</v>
      </c>
      <c r="AJ52">
        <f t="shared" si="14"/>
        <v>12</v>
      </c>
      <c r="AK52">
        <f t="shared" si="15"/>
        <v>2</v>
      </c>
      <c r="AL52">
        <f t="shared" si="16"/>
        <v>0</v>
      </c>
      <c r="AM52">
        <f t="shared" si="17"/>
        <v>6</v>
      </c>
    </row>
    <row r="53" spans="1:39">
      <c r="A53">
        <v>3122.12</v>
      </c>
      <c r="B53">
        <v>2228</v>
      </c>
      <c r="C53">
        <v>310</v>
      </c>
      <c r="D53">
        <v>20</v>
      </c>
      <c r="E53">
        <v>895</v>
      </c>
      <c r="F53">
        <v>1005</v>
      </c>
      <c r="G53">
        <v>57</v>
      </c>
      <c r="H53">
        <v>45</v>
      </c>
      <c r="I53">
        <v>230</v>
      </c>
      <c r="K53">
        <v>292</v>
      </c>
      <c r="L53">
        <v>22</v>
      </c>
      <c r="M53">
        <v>7</v>
      </c>
      <c r="N53">
        <v>103</v>
      </c>
      <c r="P53">
        <v>519</v>
      </c>
      <c r="Q53">
        <v>12</v>
      </c>
      <c r="R53">
        <v>5</v>
      </c>
      <c r="S53">
        <v>120</v>
      </c>
      <c r="U53">
        <f t="shared" si="3"/>
        <v>2455</v>
      </c>
      <c r="V53">
        <f t="shared" si="4"/>
        <v>300</v>
      </c>
      <c r="W53">
        <f t="shared" si="5"/>
        <v>18</v>
      </c>
      <c r="X53">
        <f t="shared" si="6"/>
        <v>912</v>
      </c>
      <c r="Z53">
        <f>F53+K53-P53</f>
        <v>778</v>
      </c>
      <c r="AA53">
        <f t="shared" si="7"/>
        <v>67</v>
      </c>
      <c r="AB53">
        <f t="shared" si="8"/>
        <v>47</v>
      </c>
      <c r="AC53">
        <f t="shared" si="9"/>
        <v>213</v>
      </c>
      <c r="AE53">
        <f t="shared" si="10"/>
        <v>47</v>
      </c>
      <c r="AF53">
        <f t="shared" si="11"/>
        <v>9</v>
      </c>
      <c r="AG53">
        <f t="shared" si="12"/>
        <v>1</v>
      </c>
      <c r="AH53">
        <f t="shared" si="13"/>
        <v>18</v>
      </c>
      <c r="AJ53">
        <f t="shared" si="14"/>
        <v>17</v>
      </c>
      <c r="AK53">
        <f t="shared" si="15"/>
        <v>0</v>
      </c>
      <c r="AL53">
        <f t="shared" si="16"/>
        <v>0</v>
      </c>
      <c r="AM53">
        <f t="shared" si="17"/>
        <v>1</v>
      </c>
    </row>
    <row r="54" spans="1:39">
      <c r="A54">
        <v>3182.16</v>
      </c>
      <c r="B54">
        <v>2260</v>
      </c>
      <c r="C54">
        <v>322</v>
      </c>
      <c r="D54">
        <v>20</v>
      </c>
      <c r="E54">
        <v>910</v>
      </c>
      <c r="F54">
        <v>1022</v>
      </c>
      <c r="G54">
        <v>58</v>
      </c>
      <c r="H54">
        <v>45</v>
      </c>
      <c r="I54">
        <v>233</v>
      </c>
      <c r="K54">
        <v>297</v>
      </c>
      <c r="L54">
        <v>22</v>
      </c>
      <c r="M54">
        <v>7</v>
      </c>
      <c r="N54">
        <v>103</v>
      </c>
      <c r="P54">
        <v>528</v>
      </c>
      <c r="Q54">
        <v>12</v>
      </c>
      <c r="R54">
        <v>5</v>
      </c>
      <c r="S54">
        <v>122</v>
      </c>
      <c r="U54">
        <f t="shared" si="3"/>
        <v>2491</v>
      </c>
      <c r="V54">
        <f t="shared" si="4"/>
        <v>312</v>
      </c>
      <c r="W54">
        <f t="shared" si="5"/>
        <v>18</v>
      </c>
      <c r="X54">
        <f t="shared" si="6"/>
        <v>929</v>
      </c>
      <c r="Z54">
        <f>F54+K54-P54</f>
        <v>791</v>
      </c>
      <c r="AA54">
        <f t="shared" si="7"/>
        <v>68</v>
      </c>
      <c r="AB54">
        <f t="shared" si="8"/>
        <v>47</v>
      </c>
      <c r="AC54">
        <f t="shared" si="9"/>
        <v>214</v>
      </c>
      <c r="AE54">
        <f t="shared" si="10"/>
        <v>36</v>
      </c>
      <c r="AF54">
        <f t="shared" si="11"/>
        <v>12</v>
      </c>
      <c r="AG54">
        <f t="shared" si="12"/>
        <v>0</v>
      </c>
      <c r="AH54">
        <f t="shared" si="13"/>
        <v>17</v>
      </c>
      <c r="AJ54">
        <f t="shared" si="14"/>
        <v>13</v>
      </c>
      <c r="AK54">
        <f t="shared" si="15"/>
        <v>1</v>
      </c>
      <c r="AL54">
        <f t="shared" si="16"/>
        <v>0</v>
      </c>
      <c r="AM54">
        <f t="shared" si="17"/>
        <v>1</v>
      </c>
    </row>
    <row r="55" spans="1:39">
      <c r="A55">
        <v>3242.2</v>
      </c>
      <c r="B55">
        <v>2299</v>
      </c>
      <c r="C55">
        <v>328</v>
      </c>
      <c r="D55">
        <v>21</v>
      </c>
      <c r="E55">
        <v>923</v>
      </c>
      <c r="F55">
        <v>1046</v>
      </c>
      <c r="G55">
        <v>58</v>
      </c>
      <c r="H55">
        <v>46</v>
      </c>
      <c r="I55">
        <v>238</v>
      </c>
      <c r="K55">
        <v>306</v>
      </c>
      <c r="L55">
        <v>22</v>
      </c>
      <c r="M55">
        <v>7</v>
      </c>
      <c r="N55">
        <v>104</v>
      </c>
      <c r="P55">
        <v>545</v>
      </c>
      <c r="Q55">
        <v>12</v>
      </c>
      <c r="R55">
        <v>5</v>
      </c>
      <c r="S55">
        <v>126</v>
      </c>
      <c r="U55">
        <f t="shared" si="3"/>
        <v>2538</v>
      </c>
      <c r="V55">
        <f t="shared" si="4"/>
        <v>318</v>
      </c>
      <c r="W55">
        <f t="shared" si="5"/>
        <v>19</v>
      </c>
      <c r="X55">
        <f t="shared" si="6"/>
        <v>945</v>
      </c>
      <c r="Z55">
        <f>F55+K55-P55</f>
        <v>807</v>
      </c>
      <c r="AA55">
        <f t="shared" si="7"/>
        <v>68</v>
      </c>
      <c r="AB55">
        <f t="shared" si="8"/>
        <v>48</v>
      </c>
      <c r="AC55">
        <f t="shared" si="9"/>
        <v>216</v>
      </c>
      <c r="AE55">
        <f t="shared" si="10"/>
        <v>47</v>
      </c>
      <c r="AF55">
        <f t="shared" si="11"/>
        <v>6</v>
      </c>
      <c r="AG55">
        <f t="shared" si="12"/>
        <v>1</v>
      </c>
      <c r="AH55">
        <f t="shared" si="13"/>
        <v>16</v>
      </c>
      <c r="AJ55">
        <f t="shared" si="14"/>
        <v>16</v>
      </c>
      <c r="AK55">
        <f t="shared" si="15"/>
        <v>0</v>
      </c>
      <c r="AL55">
        <f t="shared" si="16"/>
        <v>1</v>
      </c>
      <c r="AM55">
        <f t="shared" si="17"/>
        <v>2</v>
      </c>
    </row>
    <row r="56" spans="1:39">
      <c r="A56">
        <v>3302.24</v>
      </c>
      <c r="B56">
        <v>2327</v>
      </c>
      <c r="C56">
        <v>330</v>
      </c>
      <c r="D56">
        <v>21</v>
      </c>
      <c r="E56">
        <v>929</v>
      </c>
      <c r="F56">
        <v>1065</v>
      </c>
      <c r="G56">
        <v>61</v>
      </c>
      <c r="H56">
        <v>47</v>
      </c>
      <c r="I56">
        <v>241</v>
      </c>
      <c r="K56">
        <v>308</v>
      </c>
      <c r="L56">
        <v>22</v>
      </c>
      <c r="M56">
        <v>8</v>
      </c>
      <c r="N56">
        <v>105</v>
      </c>
      <c r="P56">
        <v>560</v>
      </c>
      <c r="Q56">
        <v>13</v>
      </c>
      <c r="R56">
        <v>5</v>
      </c>
      <c r="S56">
        <v>127</v>
      </c>
      <c r="U56">
        <f t="shared" si="3"/>
        <v>2579</v>
      </c>
      <c r="V56">
        <f t="shared" si="4"/>
        <v>321</v>
      </c>
      <c r="W56">
        <f t="shared" si="5"/>
        <v>18</v>
      </c>
      <c r="X56">
        <f t="shared" si="6"/>
        <v>951</v>
      </c>
      <c r="Z56">
        <f>F56+K56-P56</f>
        <v>813</v>
      </c>
      <c r="AA56">
        <f t="shared" si="7"/>
        <v>70</v>
      </c>
      <c r="AB56">
        <f t="shared" si="8"/>
        <v>50</v>
      </c>
      <c r="AC56">
        <f t="shared" si="9"/>
        <v>219</v>
      </c>
      <c r="AE56">
        <f t="shared" si="10"/>
        <v>41</v>
      </c>
      <c r="AF56">
        <f t="shared" si="11"/>
        <v>3</v>
      </c>
      <c r="AG56">
        <f t="shared" si="12"/>
        <v>-1</v>
      </c>
      <c r="AH56">
        <f t="shared" si="13"/>
        <v>6</v>
      </c>
      <c r="AJ56">
        <f t="shared" si="14"/>
        <v>6</v>
      </c>
      <c r="AK56">
        <f t="shared" si="15"/>
        <v>2</v>
      </c>
      <c r="AL56">
        <f t="shared" si="16"/>
        <v>2</v>
      </c>
      <c r="AM56">
        <f t="shared" si="17"/>
        <v>3</v>
      </c>
    </row>
    <row r="57" spans="1:39">
      <c r="A57">
        <v>3362.28</v>
      </c>
      <c r="B57">
        <v>2364</v>
      </c>
      <c r="C57">
        <v>339</v>
      </c>
      <c r="D57">
        <v>21</v>
      </c>
      <c r="E57">
        <v>943</v>
      </c>
      <c r="F57">
        <v>1080</v>
      </c>
      <c r="G57">
        <v>61</v>
      </c>
      <c r="H57">
        <v>47</v>
      </c>
      <c r="I57">
        <v>249</v>
      </c>
      <c r="K57">
        <v>314</v>
      </c>
      <c r="L57">
        <v>22</v>
      </c>
      <c r="M57">
        <v>8</v>
      </c>
      <c r="N57">
        <v>107</v>
      </c>
      <c r="P57">
        <v>569</v>
      </c>
      <c r="Q57">
        <v>13</v>
      </c>
      <c r="R57">
        <v>5</v>
      </c>
      <c r="S57">
        <v>130</v>
      </c>
      <c r="U57">
        <f t="shared" si="3"/>
        <v>2619</v>
      </c>
      <c r="V57">
        <f t="shared" si="4"/>
        <v>330</v>
      </c>
      <c r="W57">
        <f t="shared" si="5"/>
        <v>18</v>
      </c>
      <c r="X57">
        <f t="shared" si="6"/>
        <v>966</v>
      </c>
      <c r="Z57">
        <f>F57+K57-P57</f>
        <v>825</v>
      </c>
      <c r="AA57">
        <f t="shared" si="7"/>
        <v>70</v>
      </c>
      <c r="AB57">
        <f t="shared" si="8"/>
        <v>50</v>
      </c>
      <c r="AC57">
        <f t="shared" si="9"/>
        <v>226</v>
      </c>
      <c r="AE57">
        <f t="shared" si="10"/>
        <v>40</v>
      </c>
      <c r="AF57">
        <f t="shared" si="11"/>
        <v>9</v>
      </c>
      <c r="AG57">
        <f t="shared" si="12"/>
        <v>0</v>
      </c>
      <c r="AH57">
        <f t="shared" si="13"/>
        <v>15</v>
      </c>
      <c r="AJ57">
        <f t="shared" si="14"/>
        <v>12</v>
      </c>
      <c r="AK57">
        <f t="shared" si="15"/>
        <v>0</v>
      </c>
      <c r="AL57">
        <f t="shared" si="16"/>
        <v>0</v>
      </c>
      <c r="AM57">
        <f t="shared" si="17"/>
        <v>7</v>
      </c>
    </row>
    <row r="58" spans="1:39">
      <c r="A58">
        <v>3422.32</v>
      </c>
      <c r="B58">
        <v>2413</v>
      </c>
      <c r="C58">
        <v>344</v>
      </c>
      <c r="D58">
        <v>21</v>
      </c>
      <c r="E58">
        <v>954</v>
      </c>
      <c r="F58">
        <v>1103</v>
      </c>
      <c r="G58">
        <v>63</v>
      </c>
      <c r="H58">
        <v>47</v>
      </c>
      <c r="I58">
        <v>255</v>
      </c>
      <c r="K58">
        <v>319</v>
      </c>
      <c r="L58">
        <v>24</v>
      </c>
      <c r="M58">
        <v>8</v>
      </c>
      <c r="N58">
        <v>110</v>
      </c>
      <c r="P58">
        <v>584</v>
      </c>
      <c r="Q58">
        <v>13</v>
      </c>
      <c r="R58">
        <v>5</v>
      </c>
      <c r="S58">
        <v>133</v>
      </c>
      <c r="U58">
        <f t="shared" si="3"/>
        <v>2678</v>
      </c>
      <c r="V58">
        <f t="shared" si="4"/>
        <v>333</v>
      </c>
      <c r="W58">
        <f t="shared" si="5"/>
        <v>18</v>
      </c>
      <c r="X58">
        <f t="shared" si="6"/>
        <v>977</v>
      </c>
      <c r="Z58">
        <f>F58+K58-P58</f>
        <v>838</v>
      </c>
      <c r="AA58">
        <f t="shared" si="7"/>
        <v>74</v>
      </c>
      <c r="AB58">
        <f t="shared" si="8"/>
        <v>50</v>
      </c>
      <c r="AC58">
        <f t="shared" si="9"/>
        <v>232</v>
      </c>
      <c r="AE58">
        <f t="shared" si="10"/>
        <v>59</v>
      </c>
      <c r="AF58">
        <f t="shared" si="11"/>
        <v>3</v>
      </c>
      <c r="AG58">
        <f t="shared" si="12"/>
        <v>0</v>
      </c>
      <c r="AH58">
        <f t="shared" si="13"/>
        <v>11</v>
      </c>
      <c r="AJ58">
        <f t="shared" si="14"/>
        <v>13</v>
      </c>
      <c r="AK58">
        <f t="shared" si="15"/>
        <v>4</v>
      </c>
      <c r="AL58">
        <f t="shared" si="16"/>
        <v>0</v>
      </c>
      <c r="AM58">
        <f t="shared" si="17"/>
        <v>6</v>
      </c>
    </row>
    <row r="59" spans="1:39">
      <c r="A59">
        <v>3482.36</v>
      </c>
      <c r="B59">
        <v>2450</v>
      </c>
      <c r="C59">
        <v>356</v>
      </c>
      <c r="D59">
        <v>21</v>
      </c>
      <c r="E59">
        <v>969</v>
      </c>
      <c r="F59">
        <v>1126</v>
      </c>
      <c r="G59">
        <v>63</v>
      </c>
      <c r="H59">
        <v>47</v>
      </c>
      <c r="I59">
        <v>257</v>
      </c>
      <c r="K59">
        <v>324</v>
      </c>
      <c r="L59">
        <v>24</v>
      </c>
      <c r="M59">
        <v>8</v>
      </c>
      <c r="N59">
        <v>111</v>
      </c>
      <c r="P59">
        <v>595</v>
      </c>
      <c r="Q59">
        <v>13</v>
      </c>
      <c r="R59">
        <v>5</v>
      </c>
      <c r="S59">
        <v>135</v>
      </c>
      <c r="U59">
        <f t="shared" si="3"/>
        <v>2721</v>
      </c>
      <c r="V59">
        <f t="shared" si="4"/>
        <v>345</v>
      </c>
      <c r="W59">
        <f t="shared" si="5"/>
        <v>18</v>
      </c>
      <c r="X59">
        <f t="shared" si="6"/>
        <v>993</v>
      </c>
      <c r="Z59">
        <f>F59+K59-P59</f>
        <v>855</v>
      </c>
      <c r="AA59">
        <f t="shared" si="7"/>
        <v>74</v>
      </c>
      <c r="AB59">
        <f t="shared" si="8"/>
        <v>50</v>
      </c>
      <c r="AC59">
        <f t="shared" si="9"/>
        <v>233</v>
      </c>
      <c r="AE59">
        <f t="shared" si="10"/>
        <v>43</v>
      </c>
      <c r="AF59">
        <f t="shared" si="11"/>
        <v>12</v>
      </c>
      <c r="AG59">
        <f t="shared" si="12"/>
        <v>0</v>
      </c>
      <c r="AH59">
        <f t="shared" si="13"/>
        <v>16</v>
      </c>
      <c r="AJ59">
        <f t="shared" si="14"/>
        <v>17</v>
      </c>
      <c r="AK59">
        <f t="shared" si="15"/>
        <v>0</v>
      </c>
      <c r="AL59">
        <f t="shared" si="16"/>
        <v>0</v>
      </c>
      <c r="AM59">
        <f t="shared" si="17"/>
        <v>1</v>
      </c>
    </row>
    <row r="60" spans="1:39">
      <c r="A60">
        <v>3542.4</v>
      </c>
      <c r="B60">
        <v>2497</v>
      </c>
      <c r="C60">
        <v>359</v>
      </c>
      <c r="D60">
        <v>21</v>
      </c>
      <c r="E60">
        <v>977</v>
      </c>
      <c r="F60">
        <v>1146</v>
      </c>
      <c r="G60">
        <v>63</v>
      </c>
      <c r="H60">
        <v>51</v>
      </c>
      <c r="I60">
        <v>267</v>
      </c>
      <c r="K60">
        <v>331</v>
      </c>
      <c r="L60">
        <v>24</v>
      </c>
      <c r="M60">
        <v>8</v>
      </c>
      <c r="N60">
        <v>111</v>
      </c>
      <c r="P60">
        <v>604</v>
      </c>
      <c r="Q60">
        <v>13</v>
      </c>
      <c r="R60">
        <v>5</v>
      </c>
      <c r="S60">
        <v>140</v>
      </c>
      <c r="U60">
        <f t="shared" si="3"/>
        <v>2770</v>
      </c>
      <c r="V60">
        <f t="shared" si="4"/>
        <v>348</v>
      </c>
      <c r="W60">
        <f t="shared" si="5"/>
        <v>18</v>
      </c>
      <c r="X60">
        <f t="shared" si="6"/>
        <v>1006</v>
      </c>
      <c r="Z60">
        <f>F60+K60-P60</f>
        <v>873</v>
      </c>
      <c r="AA60">
        <f t="shared" si="7"/>
        <v>74</v>
      </c>
      <c r="AB60">
        <f t="shared" si="8"/>
        <v>54</v>
      </c>
      <c r="AC60">
        <f t="shared" si="9"/>
        <v>238</v>
      </c>
      <c r="AE60">
        <f t="shared" si="10"/>
        <v>49</v>
      </c>
      <c r="AF60">
        <f t="shared" si="11"/>
        <v>3</v>
      </c>
      <c r="AG60">
        <f t="shared" si="12"/>
        <v>0</v>
      </c>
      <c r="AH60">
        <f t="shared" si="13"/>
        <v>13</v>
      </c>
      <c r="AJ60">
        <f t="shared" si="14"/>
        <v>18</v>
      </c>
      <c r="AK60">
        <f t="shared" si="15"/>
        <v>0</v>
      </c>
      <c r="AL60">
        <f t="shared" si="16"/>
        <v>4</v>
      </c>
      <c r="AM60">
        <f t="shared" si="17"/>
        <v>5</v>
      </c>
    </row>
    <row r="61" spans="1:39">
      <c r="A61">
        <v>3602.44</v>
      </c>
      <c r="B61">
        <v>2538</v>
      </c>
      <c r="C61">
        <v>364</v>
      </c>
      <c r="D61">
        <v>22</v>
      </c>
      <c r="E61">
        <v>998</v>
      </c>
      <c r="F61">
        <v>1163</v>
      </c>
      <c r="G61">
        <v>64</v>
      </c>
      <c r="H61">
        <v>53</v>
      </c>
      <c r="I61">
        <v>270</v>
      </c>
      <c r="K61">
        <v>338</v>
      </c>
      <c r="L61">
        <v>24</v>
      </c>
      <c r="M61">
        <v>8</v>
      </c>
      <c r="N61">
        <v>111</v>
      </c>
      <c r="P61">
        <v>612</v>
      </c>
      <c r="Q61">
        <v>13</v>
      </c>
      <c r="R61">
        <v>7</v>
      </c>
      <c r="S61">
        <v>141</v>
      </c>
      <c r="U61">
        <f t="shared" si="3"/>
        <v>2812</v>
      </c>
      <c r="V61">
        <f t="shared" si="4"/>
        <v>353</v>
      </c>
      <c r="W61">
        <f t="shared" si="5"/>
        <v>21</v>
      </c>
      <c r="X61">
        <f t="shared" si="6"/>
        <v>1028</v>
      </c>
      <c r="Z61">
        <f>F61+K61-P61</f>
        <v>889</v>
      </c>
      <c r="AA61">
        <f t="shared" si="7"/>
        <v>75</v>
      </c>
      <c r="AB61">
        <f t="shared" si="8"/>
        <v>54</v>
      </c>
      <c r="AC61">
        <f t="shared" si="9"/>
        <v>240</v>
      </c>
      <c r="AE61">
        <f t="shared" si="10"/>
        <v>42</v>
      </c>
      <c r="AF61">
        <f t="shared" si="11"/>
        <v>5</v>
      </c>
      <c r="AG61">
        <f t="shared" si="12"/>
        <v>3</v>
      </c>
      <c r="AH61">
        <f t="shared" si="13"/>
        <v>22</v>
      </c>
      <c r="AJ61">
        <f t="shared" si="14"/>
        <v>16</v>
      </c>
      <c r="AK61">
        <f t="shared" si="15"/>
        <v>1</v>
      </c>
      <c r="AL61">
        <f t="shared" si="16"/>
        <v>0</v>
      </c>
      <c r="AM61">
        <f t="shared" si="17"/>
        <v>2</v>
      </c>
    </row>
    <row r="62" spans="1:39">
      <c r="A62">
        <v>3662.48</v>
      </c>
      <c r="B62">
        <v>2587</v>
      </c>
      <c r="C62">
        <v>370</v>
      </c>
      <c r="D62">
        <v>23</v>
      </c>
      <c r="E62">
        <v>1017</v>
      </c>
      <c r="F62">
        <v>1178</v>
      </c>
      <c r="G62">
        <v>64</v>
      </c>
      <c r="H62">
        <v>56</v>
      </c>
      <c r="I62">
        <v>273</v>
      </c>
      <c r="K62">
        <v>343</v>
      </c>
      <c r="L62">
        <v>24</v>
      </c>
      <c r="M62">
        <v>8</v>
      </c>
      <c r="N62">
        <v>112</v>
      </c>
      <c r="P62">
        <v>621</v>
      </c>
      <c r="Q62">
        <v>13</v>
      </c>
      <c r="R62">
        <v>7</v>
      </c>
      <c r="S62">
        <v>142</v>
      </c>
      <c r="U62">
        <f t="shared" si="3"/>
        <v>2865</v>
      </c>
      <c r="V62">
        <f t="shared" si="4"/>
        <v>359</v>
      </c>
      <c r="W62">
        <f t="shared" si="5"/>
        <v>22</v>
      </c>
      <c r="X62">
        <f t="shared" si="6"/>
        <v>1047</v>
      </c>
      <c r="Z62">
        <f>F62+K62-P62</f>
        <v>900</v>
      </c>
      <c r="AA62">
        <f t="shared" si="7"/>
        <v>75</v>
      </c>
      <c r="AB62">
        <f t="shared" si="8"/>
        <v>57</v>
      </c>
      <c r="AC62">
        <f t="shared" si="9"/>
        <v>243</v>
      </c>
      <c r="AE62">
        <f t="shared" si="10"/>
        <v>53</v>
      </c>
      <c r="AF62">
        <f t="shared" si="11"/>
        <v>6</v>
      </c>
      <c r="AG62">
        <f t="shared" si="12"/>
        <v>1</v>
      </c>
      <c r="AH62">
        <f t="shared" si="13"/>
        <v>19</v>
      </c>
      <c r="AJ62">
        <f t="shared" si="14"/>
        <v>11</v>
      </c>
      <c r="AK62">
        <f t="shared" si="15"/>
        <v>0</v>
      </c>
      <c r="AL62">
        <f t="shared" si="16"/>
        <v>3</v>
      </c>
      <c r="AM62">
        <f t="shared" si="17"/>
        <v>3</v>
      </c>
    </row>
    <row r="63" spans="1:39">
      <c r="A63">
        <v>3722.52</v>
      </c>
      <c r="B63">
        <v>2640</v>
      </c>
      <c r="C63">
        <v>381</v>
      </c>
      <c r="D63">
        <v>24</v>
      </c>
      <c r="E63">
        <v>1033</v>
      </c>
      <c r="F63">
        <v>1195</v>
      </c>
      <c r="G63">
        <v>67</v>
      </c>
      <c r="H63">
        <v>56</v>
      </c>
      <c r="I63">
        <v>278</v>
      </c>
      <c r="K63">
        <v>347</v>
      </c>
      <c r="L63">
        <v>25</v>
      </c>
      <c r="M63">
        <v>8</v>
      </c>
      <c r="N63">
        <v>115</v>
      </c>
      <c r="P63">
        <v>633</v>
      </c>
      <c r="Q63">
        <v>13</v>
      </c>
      <c r="R63">
        <v>8</v>
      </c>
      <c r="S63">
        <v>144</v>
      </c>
      <c r="U63">
        <f t="shared" si="3"/>
        <v>2926</v>
      </c>
      <c r="V63">
        <f t="shared" si="4"/>
        <v>369</v>
      </c>
      <c r="W63">
        <f t="shared" si="5"/>
        <v>24</v>
      </c>
      <c r="X63">
        <f t="shared" si="6"/>
        <v>1062</v>
      </c>
      <c r="Z63">
        <f>F63+K63-P63</f>
        <v>909</v>
      </c>
      <c r="AA63">
        <f t="shared" si="7"/>
        <v>79</v>
      </c>
      <c r="AB63">
        <f t="shared" si="8"/>
        <v>56</v>
      </c>
      <c r="AC63">
        <f t="shared" si="9"/>
        <v>249</v>
      </c>
      <c r="AE63">
        <f t="shared" si="10"/>
        <v>61</v>
      </c>
      <c r="AF63">
        <f t="shared" si="11"/>
        <v>10</v>
      </c>
      <c r="AG63">
        <f t="shared" si="12"/>
        <v>2</v>
      </c>
      <c r="AH63">
        <f t="shared" si="13"/>
        <v>15</v>
      </c>
      <c r="AJ63">
        <f t="shared" si="14"/>
        <v>9</v>
      </c>
      <c r="AK63">
        <f t="shared" si="15"/>
        <v>4</v>
      </c>
      <c r="AL63">
        <f t="shared" si="16"/>
        <v>-1</v>
      </c>
      <c r="AM63">
        <f t="shared" si="17"/>
        <v>6</v>
      </c>
    </row>
    <row r="64" spans="1:39">
      <c r="A64">
        <v>3782.56</v>
      </c>
      <c r="B64">
        <v>2675</v>
      </c>
      <c r="C64">
        <v>388</v>
      </c>
      <c r="D64">
        <v>25</v>
      </c>
      <c r="E64">
        <v>1051</v>
      </c>
      <c r="F64">
        <v>1210</v>
      </c>
      <c r="G64">
        <v>68</v>
      </c>
      <c r="H64">
        <v>57</v>
      </c>
      <c r="I64">
        <v>282</v>
      </c>
      <c r="K64">
        <v>354</v>
      </c>
      <c r="L64">
        <v>25</v>
      </c>
      <c r="M64">
        <v>8</v>
      </c>
      <c r="N64">
        <v>118</v>
      </c>
      <c r="P64">
        <v>641</v>
      </c>
      <c r="Q64">
        <v>13</v>
      </c>
      <c r="R64">
        <v>8</v>
      </c>
      <c r="S64">
        <v>148</v>
      </c>
      <c r="U64">
        <f t="shared" si="3"/>
        <v>2962</v>
      </c>
      <c r="V64">
        <f t="shared" si="4"/>
        <v>376</v>
      </c>
      <c r="W64">
        <f t="shared" si="5"/>
        <v>25</v>
      </c>
      <c r="X64">
        <f t="shared" si="6"/>
        <v>1081</v>
      </c>
      <c r="Z64">
        <f>F64+K64-P64</f>
        <v>923</v>
      </c>
      <c r="AA64">
        <f t="shared" si="7"/>
        <v>80</v>
      </c>
      <c r="AB64">
        <f t="shared" si="8"/>
        <v>57</v>
      </c>
      <c r="AC64">
        <f t="shared" si="9"/>
        <v>252</v>
      </c>
      <c r="AE64">
        <f t="shared" si="10"/>
        <v>36</v>
      </c>
      <c r="AF64">
        <f t="shared" si="11"/>
        <v>7</v>
      </c>
      <c r="AG64">
        <f t="shared" si="12"/>
        <v>1</v>
      </c>
      <c r="AH64">
        <f t="shared" si="13"/>
        <v>19</v>
      </c>
      <c r="AJ64">
        <f t="shared" si="14"/>
        <v>14</v>
      </c>
      <c r="AK64">
        <f t="shared" si="15"/>
        <v>1</v>
      </c>
      <c r="AL64">
        <f t="shared" si="16"/>
        <v>1</v>
      </c>
      <c r="AM64">
        <f t="shared" si="17"/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NB012</dc:creator>
  <cp:keywords/>
  <dc:description/>
  <cp:lastModifiedBy>Leong Sio Kuan</cp:lastModifiedBy>
  <cp:revision/>
  <dcterms:created xsi:type="dcterms:W3CDTF">2026-03-29T18:17:55Z</dcterms:created>
  <dcterms:modified xsi:type="dcterms:W3CDTF">2026-03-30T20:11:40Z</dcterms:modified>
  <cp:category/>
  <cp:contentStatus/>
</cp:coreProperties>
</file>