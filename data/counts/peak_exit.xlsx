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xr:revisionPtr revIDLastSave="61" documentId="11_98AF877377DD7B8F019BA18BDDDD8E0C73AE5E53" xr6:coauthVersionLast="47" xr6:coauthVersionMax="47" xr10:uidLastSave="{00DE696E-2DE1-4695-A2DB-0228D43E3C5B}"/>
  <bookViews>
    <workbookView xWindow="180" yWindow="120" windowWidth="21293" windowHeight="8453" xr2:uid="{00000000-000D-0000-FFFF-FFFF00000000}"/>
  </bookViews>
  <sheets>
    <sheet name="Results" sheetId="2" r:id="rId1"/>
    <sheet name="Calculation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N3" i="2"/>
  <c r="R3" i="2"/>
  <c r="N6" i="2"/>
  <c r="N7" i="2"/>
  <c r="N8" i="2"/>
  <c r="N9" i="2"/>
  <c r="N10" i="2"/>
  <c r="N11" i="2"/>
  <c r="N12" i="2"/>
  <c r="N13" i="2"/>
  <c r="N14" i="2"/>
  <c r="N15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" i="2"/>
  <c r="N2" i="2" s="1"/>
  <c r="K6" i="2"/>
  <c r="R6" i="2" s="1"/>
  <c r="K7" i="2"/>
  <c r="R7" i="2" s="1"/>
  <c r="K8" i="2"/>
  <c r="R8" i="2" s="1"/>
  <c r="K9" i="2"/>
  <c r="R9" i="2" s="1"/>
  <c r="K10" i="2"/>
  <c r="R10" i="2" s="1"/>
  <c r="K11" i="2"/>
  <c r="R11" i="2" s="1"/>
  <c r="K12" i="2"/>
  <c r="R12" i="2" s="1"/>
  <c r="K13" i="2"/>
  <c r="R13" i="2" s="1"/>
  <c r="K14" i="2"/>
  <c r="R14" i="2" s="1"/>
  <c r="K15" i="2"/>
  <c r="R15" i="2" s="1"/>
  <c r="K19" i="2"/>
  <c r="R19" i="2" s="1"/>
  <c r="K20" i="2"/>
  <c r="R20" i="2" s="1"/>
  <c r="K21" i="2"/>
  <c r="R21" i="2" s="1"/>
  <c r="K22" i="2"/>
  <c r="R22" i="2" s="1"/>
  <c r="K23" i="2"/>
  <c r="R23" i="2" s="1"/>
  <c r="K24" i="2"/>
  <c r="R24" i="2" s="1"/>
  <c r="K25" i="2"/>
  <c r="R25" i="2" s="1"/>
  <c r="K26" i="2"/>
  <c r="R26" i="2" s="1"/>
  <c r="K27" i="2"/>
  <c r="R27" i="2" s="1"/>
  <c r="K28" i="2"/>
  <c r="R28" i="2" s="1"/>
  <c r="K29" i="2"/>
  <c r="R29" i="2" s="1"/>
  <c r="K30" i="2"/>
  <c r="R30" i="2" s="1"/>
  <c r="K31" i="2"/>
  <c r="R31" i="2" s="1"/>
  <c r="K32" i="2"/>
  <c r="R32" i="2" s="1"/>
  <c r="K33" i="2"/>
  <c r="R33" i="2" s="1"/>
  <c r="K34" i="2"/>
  <c r="R34" i="2" s="1"/>
  <c r="K35" i="2"/>
  <c r="R35" i="2" s="1"/>
  <c r="K36" i="2"/>
  <c r="R36" i="2" s="1"/>
  <c r="K37" i="2"/>
  <c r="R37" i="2" s="1"/>
  <c r="K38" i="2"/>
  <c r="R38" i="2" s="1"/>
  <c r="K39" i="2"/>
  <c r="R39" i="2" s="1"/>
  <c r="K40" i="2"/>
  <c r="R40" i="2" s="1"/>
  <c r="K41" i="2"/>
  <c r="R41" i="2" s="1"/>
  <c r="K42" i="2"/>
  <c r="R42" i="2" s="1"/>
  <c r="K43" i="2"/>
  <c r="R43" i="2" s="1"/>
  <c r="K44" i="2"/>
  <c r="R44" i="2" s="1"/>
  <c r="K45" i="2"/>
  <c r="R45" i="2" s="1"/>
  <c r="K46" i="2"/>
  <c r="R46" i="2" s="1"/>
  <c r="K47" i="2"/>
  <c r="R47" i="2" s="1"/>
  <c r="K48" i="2"/>
  <c r="R48" i="2" s="1"/>
  <c r="K49" i="2"/>
  <c r="R49" i="2" s="1"/>
  <c r="K50" i="2"/>
  <c r="R50" i="2" s="1"/>
  <c r="K5" i="2"/>
  <c r="S3" i="1"/>
  <c r="T3" i="1"/>
  <c r="U3" i="1"/>
  <c r="V3" i="1"/>
  <c r="S4" i="1"/>
  <c r="AB4" i="1" s="1"/>
  <c r="T4" i="1"/>
  <c r="AC4" i="1" s="1"/>
  <c r="U4" i="1"/>
  <c r="AD4" i="1" s="1"/>
  <c r="V4" i="1"/>
  <c r="AE4" i="1" s="1"/>
  <c r="S5" i="1"/>
  <c r="AB5" i="1" s="1"/>
  <c r="T5" i="1"/>
  <c r="AC5" i="1" s="1"/>
  <c r="U5" i="1"/>
  <c r="AD5" i="1" s="1"/>
  <c r="V5" i="1"/>
  <c r="AE5" i="1" s="1"/>
  <c r="S6" i="1"/>
  <c r="AB6" i="1" s="1"/>
  <c r="T6" i="1"/>
  <c r="AC6" i="1" s="1"/>
  <c r="U6" i="1"/>
  <c r="AD6" i="1" s="1"/>
  <c r="V6" i="1"/>
  <c r="AE6" i="1" s="1"/>
  <c r="S7" i="1"/>
  <c r="AB7" i="1" s="1"/>
  <c r="T7" i="1"/>
  <c r="AC7" i="1" s="1"/>
  <c r="U7" i="1"/>
  <c r="AD7" i="1" s="1"/>
  <c r="V7" i="1"/>
  <c r="AE7" i="1" s="1"/>
  <c r="S8" i="1"/>
  <c r="AB8" i="1" s="1"/>
  <c r="T8" i="1"/>
  <c r="AC8" i="1" s="1"/>
  <c r="U8" i="1"/>
  <c r="AD8" i="1" s="1"/>
  <c r="V8" i="1"/>
  <c r="AE8" i="1" s="1"/>
  <c r="S9" i="1"/>
  <c r="AB9" i="1" s="1"/>
  <c r="T9" i="1"/>
  <c r="AC9" i="1" s="1"/>
  <c r="U9" i="1"/>
  <c r="AD9" i="1" s="1"/>
  <c r="V9" i="1"/>
  <c r="AE9" i="1" s="1"/>
  <c r="S10" i="1"/>
  <c r="AB10" i="1" s="1"/>
  <c r="T10" i="1"/>
  <c r="AC10" i="1" s="1"/>
  <c r="U10" i="1"/>
  <c r="AD10" i="1" s="1"/>
  <c r="V10" i="1"/>
  <c r="AE10" i="1" s="1"/>
  <c r="S11" i="1"/>
  <c r="AB11" i="1" s="1"/>
  <c r="T11" i="1"/>
  <c r="AC11" i="1" s="1"/>
  <c r="U11" i="1"/>
  <c r="AD11" i="1" s="1"/>
  <c r="V11" i="1"/>
  <c r="AE11" i="1" s="1"/>
  <c r="S12" i="1"/>
  <c r="AB12" i="1" s="1"/>
  <c r="T12" i="1"/>
  <c r="AC12" i="1" s="1"/>
  <c r="U12" i="1"/>
  <c r="AD12" i="1" s="1"/>
  <c r="V12" i="1"/>
  <c r="AE12" i="1" s="1"/>
  <c r="S13" i="1"/>
  <c r="AB13" i="1" s="1"/>
  <c r="T13" i="1"/>
  <c r="AC13" i="1" s="1"/>
  <c r="U13" i="1"/>
  <c r="AD13" i="1" s="1"/>
  <c r="V13" i="1"/>
  <c r="AE13" i="1" s="1"/>
  <c r="S14" i="1"/>
  <c r="AB14" i="1" s="1"/>
  <c r="T14" i="1"/>
  <c r="AC14" i="1" s="1"/>
  <c r="U14" i="1"/>
  <c r="AD14" i="1" s="1"/>
  <c r="V14" i="1"/>
  <c r="AE14" i="1" s="1"/>
  <c r="S15" i="1"/>
  <c r="T15" i="1"/>
  <c r="U15" i="1"/>
  <c r="V15" i="1"/>
  <c r="S16" i="1"/>
  <c r="AB16" i="1" s="1"/>
  <c r="T16" i="1"/>
  <c r="AC16" i="1" s="1"/>
  <c r="U16" i="1"/>
  <c r="AD16" i="1" s="1"/>
  <c r="V16" i="1"/>
  <c r="AE16" i="1" s="1"/>
  <c r="S17" i="1"/>
  <c r="AB17" i="1" s="1"/>
  <c r="T17" i="1"/>
  <c r="AC17" i="1" s="1"/>
  <c r="U17" i="1"/>
  <c r="AD17" i="1" s="1"/>
  <c r="V17" i="1"/>
  <c r="AE17" i="1" s="1"/>
  <c r="S18" i="1"/>
  <c r="AB18" i="1" s="1"/>
  <c r="T18" i="1"/>
  <c r="AC18" i="1" s="1"/>
  <c r="U18" i="1"/>
  <c r="AD18" i="1" s="1"/>
  <c r="V18" i="1"/>
  <c r="AE18" i="1" s="1"/>
  <c r="S19" i="1"/>
  <c r="AB19" i="1" s="1"/>
  <c r="T19" i="1"/>
  <c r="AC19" i="1" s="1"/>
  <c r="U19" i="1"/>
  <c r="AD19" i="1" s="1"/>
  <c r="V19" i="1"/>
  <c r="AE19" i="1" s="1"/>
  <c r="S20" i="1"/>
  <c r="AB20" i="1" s="1"/>
  <c r="T20" i="1"/>
  <c r="AC20" i="1" s="1"/>
  <c r="U20" i="1"/>
  <c r="AD20" i="1" s="1"/>
  <c r="V20" i="1"/>
  <c r="AE20" i="1" s="1"/>
  <c r="S21" i="1"/>
  <c r="AB21" i="1" s="1"/>
  <c r="T21" i="1"/>
  <c r="AC21" i="1" s="1"/>
  <c r="U21" i="1"/>
  <c r="AD21" i="1" s="1"/>
  <c r="V21" i="1"/>
  <c r="AE21" i="1" s="1"/>
  <c r="S22" i="1"/>
  <c r="AB22" i="1" s="1"/>
  <c r="T22" i="1"/>
  <c r="AC22" i="1" s="1"/>
  <c r="U22" i="1"/>
  <c r="AD22" i="1" s="1"/>
  <c r="V22" i="1"/>
  <c r="AE22" i="1" s="1"/>
  <c r="S23" i="1"/>
  <c r="AB23" i="1" s="1"/>
  <c r="T23" i="1"/>
  <c r="AC23" i="1" s="1"/>
  <c r="U23" i="1"/>
  <c r="AD23" i="1" s="1"/>
  <c r="V23" i="1"/>
  <c r="AE23" i="1" s="1"/>
  <c r="S24" i="1"/>
  <c r="AB24" i="1" s="1"/>
  <c r="T24" i="1"/>
  <c r="AC24" i="1" s="1"/>
  <c r="U24" i="1"/>
  <c r="AD24" i="1" s="1"/>
  <c r="V24" i="1"/>
  <c r="AE24" i="1" s="1"/>
  <c r="S25" i="1"/>
  <c r="AB25" i="1" s="1"/>
  <c r="T25" i="1"/>
  <c r="AC25" i="1" s="1"/>
  <c r="U25" i="1"/>
  <c r="AD25" i="1" s="1"/>
  <c r="V25" i="1"/>
  <c r="AE25" i="1" s="1"/>
  <c r="S26" i="1"/>
  <c r="AB26" i="1" s="1"/>
  <c r="T26" i="1"/>
  <c r="AC26" i="1" s="1"/>
  <c r="U26" i="1"/>
  <c r="AD26" i="1" s="1"/>
  <c r="V26" i="1"/>
  <c r="AE26" i="1" s="1"/>
  <c r="S27" i="1"/>
  <c r="AB27" i="1" s="1"/>
  <c r="T27" i="1"/>
  <c r="AC27" i="1" s="1"/>
  <c r="U27" i="1"/>
  <c r="AD27" i="1" s="1"/>
  <c r="V27" i="1"/>
  <c r="AE27" i="1" s="1"/>
  <c r="S28" i="1"/>
  <c r="AB28" i="1" s="1"/>
  <c r="T28" i="1"/>
  <c r="AC28" i="1" s="1"/>
  <c r="U28" i="1"/>
  <c r="AD28" i="1" s="1"/>
  <c r="V28" i="1"/>
  <c r="AE28" i="1" s="1"/>
  <c r="S29" i="1"/>
  <c r="AB29" i="1" s="1"/>
  <c r="T29" i="1"/>
  <c r="AC29" i="1" s="1"/>
  <c r="U29" i="1"/>
  <c r="AD29" i="1" s="1"/>
  <c r="V29" i="1"/>
  <c r="AE29" i="1" s="1"/>
  <c r="S30" i="1"/>
  <c r="AB30" i="1" s="1"/>
  <c r="T30" i="1"/>
  <c r="AC30" i="1" s="1"/>
  <c r="U30" i="1"/>
  <c r="AD30" i="1" s="1"/>
  <c r="V30" i="1"/>
  <c r="AE30" i="1" s="1"/>
  <c r="S31" i="1"/>
  <c r="AB31" i="1" s="1"/>
  <c r="T31" i="1"/>
  <c r="AC31" i="1" s="1"/>
  <c r="U31" i="1"/>
  <c r="AD31" i="1" s="1"/>
  <c r="V31" i="1"/>
  <c r="AE31" i="1" s="1"/>
  <c r="S32" i="1"/>
  <c r="AB32" i="1" s="1"/>
  <c r="T32" i="1"/>
  <c r="AC32" i="1" s="1"/>
  <c r="U32" i="1"/>
  <c r="AD32" i="1" s="1"/>
  <c r="V32" i="1"/>
  <c r="AE32" i="1" s="1"/>
  <c r="S33" i="1"/>
  <c r="AB33" i="1" s="1"/>
  <c r="T33" i="1"/>
  <c r="AC33" i="1" s="1"/>
  <c r="U33" i="1"/>
  <c r="AD33" i="1" s="1"/>
  <c r="V33" i="1"/>
  <c r="AE33" i="1" s="1"/>
  <c r="S34" i="1"/>
  <c r="AB34" i="1" s="1"/>
  <c r="T34" i="1"/>
  <c r="AC34" i="1" s="1"/>
  <c r="U34" i="1"/>
  <c r="AD34" i="1" s="1"/>
  <c r="V34" i="1"/>
  <c r="AE34" i="1" s="1"/>
  <c r="S35" i="1"/>
  <c r="AB35" i="1" s="1"/>
  <c r="T35" i="1"/>
  <c r="AC35" i="1" s="1"/>
  <c r="U35" i="1"/>
  <c r="AD35" i="1" s="1"/>
  <c r="V35" i="1"/>
  <c r="AE35" i="1" s="1"/>
  <c r="S36" i="1"/>
  <c r="AB36" i="1" s="1"/>
  <c r="T36" i="1"/>
  <c r="AC36" i="1" s="1"/>
  <c r="U36" i="1"/>
  <c r="AD36" i="1" s="1"/>
  <c r="V36" i="1"/>
  <c r="AE36" i="1" s="1"/>
  <c r="S37" i="1"/>
  <c r="AB37" i="1" s="1"/>
  <c r="T37" i="1"/>
  <c r="AC37" i="1" s="1"/>
  <c r="U37" i="1"/>
  <c r="AD37" i="1" s="1"/>
  <c r="V37" i="1"/>
  <c r="AE37" i="1" s="1"/>
  <c r="S38" i="1"/>
  <c r="AB38" i="1" s="1"/>
  <c r="T38" i="1"/>
  <c r="AC38" i="1" s="1"/>
  <c r="U38" i="1"/>
  <c r="AD38" i="1" s="1"/>
  <c r="V38" i="1"/>
  <c r="AE38" i="1" s="1"/>
  <c r="S39" i="1"/>
  <c r="AB39" i="1" s="1"/>
  <c r="T39" i="1"/>
  <c r="AC39" i="1" s="1"/>
  <c r="U39" i="1"/>
  <c r="AD39" i="1" s="1"/>
  <c r="V39" i="1"/>
  <c r="AE39" i="1" s="1"/>
  <c r="S40" i="1"/>
  <c r="AB40" i="1" s="1"/>
  <c r="T40" i="1"/>
  <c r="AC40" i="1" s="1"/>
  <c r="U40" i="1"/>
  <c r="AD40" i="1" s="1"/>
  <c r="V40" i="1"/>
  <c r="AE40" i="1" s="1"/>
  <c r="S41" i="1"/>
  <c r="AB41" i="1" s="1"/>
  <c r="T41" i="1"/>
  <c r="AC41" i="1" s="1"/>
  <c r="U41" i="1"/>
  <c r="AD41" i="1" s="1"/>
  <c r="V41" i="1"/>
  <c r="AE41" i="1" s="1"/>
  <c r="S42" i="1"/>
  <c r="AB42" i="1" s="1"/>
  <c r="T42" i="1"/>
  <c r="AC42" i="1" s="1"/>
  <c r="U42" i="1"/>
  <c r="AD42" i="1" s="1"/>
  <c r="V42" i="1"/>
  <c r="AE42" i="1" s="1"/>
  <c r="S43" i="1"/>
  <c r="AB43" i="1" s="1"/>
  <c r="T43" i="1"/>
  <c r="AC43" i="1" s="1"/>
  <c r="U43" i="1"/>
  <c r="AD43" i="1" s="1"/>
  <c r="V43" i="1"/>
  <c r="AE43" i="1" s="1"/>
  <c r="S44" i="1"/>
  <c r="AB44" i="1" s="1"/>
  <c r="T44" i="1"/>
  <c r="AC44" i="1" s="1"/>
  <c r="U44" i="1"/>
  <c r="AD44" i="1" s="1"/>
  <c r="V44" i="1"/>
  <c r="AE44" i="1" s="1"/>
  <c r="S45" i="1"/>
  <c r="AB45" i="1" s="1"/>
  <c r="T45" i="1"/>
  <c r="AC45" i="1" s="1"/>
  <c r="U45" i="1"/>
  <c r="AD45" i="1" s="1"/>
  <c r="V45" i="1"/>
  <c r="AE45" i="1" s="1"/>
  <c r="S46" i="1"/>
  <c r="AB46" i="1" s="1"/>
  <c r="T46" i="1"/>
  <c r="AC46" i="1" s="1"/>
  <c r="U46" i="1"/>
  <c r="AD46" i="1" s="1"/>
  <c r="V46" i="1"/>
  <c r="AE46" i="1" s="1"/>
  <c r="S47" i="1"/>
  <c r="AB47" i="1" s="1"/>
  <c r="T47" i="1"/>
  <c r="AC47" i="1" s="1"/>
  <c r="U47" i="1"/>
  <c r="AD47" i="1" s="1"/>
  <c r="V47" i="1"/>
  <c r="AE47" i="1" s="1"/>
  <c r="T2" i="1"/>
  <c r="AC2" i="1" s="1"/>
  <c r="U2" i="1"/>
  <c r="AD2" i="1" s="1"/>
  <c r="V2" i="1"/>
  <c r="AE2" i="1" s="1"/>
  <c r="S2" i="1"/>
  <c r="AB2" i="1" s="1"/>
  <c r="O3" i="1"/>
  <c r="P3" i="1"/>
  <c r="Q3" i="1"/>
  <c r="R3" i="1"/>
  <c r="O4" i="1"/>
  <c r="X4" i="1" s="1"/>
  <c r="P4" i="1"/>
  <c r="Y4" i="1" s="1"/>
  <c r="Q4" i="1"/>
  <c r="Z4" i="1" s="1"/>
  <c r="R4" i="1"/>
  <c r="AA4" i="1" s="1"/>
  <c r="O5" i="1"/>
  <c r="X5" i="1" s="1"/>
  <c r="P5" i="1"/>
  <c r="Y5" i="1" s="1"/>
  <c r="Q5" i="1"/>
  <c r="Z5" i="1" s="1"/>
  <c r="R5" i="1"/>
  <c r="AA5" i="1" s="1"/>
  <c r="O6" i="1"/>
  <c r="X6" i="1" s="1"/>
  <c r="P6" i="1"/>
  <c r="Y6" i="1" s="1"/>
  <c r="Q6" i="1"/>
  <c r="Z6" i="1" s="1"/>
  <c r="R6" i="1"/>
  <c r="AA6" i="1" s="1"/>
  <c r="O7" i="1"/>
  <c r="X7" i="1" s="1"/>
  <c r="P7" i="1"/>
  <c r="Y7" i="1" s="1"/>
  <c r="Q7" i="1"/>
  <c r="Z7" i="1" s="1"/>
  <c r="R7" i="1"/>
  <c r="AA7" i="1" s="1"/>
  <c r="O8" i="1"/>
  <c r="X8" i="1" s="1"/>
  <c r="P8" i="1"/>
  <c r="Y8" i="1" s="1"/>
  <c r="Q8" i="1"/>
  <c r="Z8" i="1" s="1"/>
  <c r="R8" i="1"/>
  <c r="AA8" i="1" s="1"/>
  <c r="O9" i="1"/>
  <c r="X9" i="1" s="1"/>
  <c r="P9" i="1"/>
  <c r="Y9" i="1" s="1"/>
  <c r="Q9" i="1"/>
  <c r="Z9" i="1" s="1"/>
  <c r="R9" i="1"/>
  <c r="AA9" i="1" s="1"/>
  <c r="O10" i="1"/>
  <c r="X10" i="1" s="1"/>
  <c r="P10" i="1"/>
  <c r="Y10" i="1" s="1"/>
  <c r="Q10" i="1"/>
  <c r="Z10" i="1" s="1"/>
  <c r="R10" i="1"/>
  <c r="AA10" i="1" s="1"/>
  <c r="O11" i="1"/>
  <c r="X11" i="1" s="1"/>
  <c r="P11" i="1"/>
  <c r="Y11" i="1" s="1"/>
  <c r="Q11" i="1"/>
  <c r="Z11" i="1" s="1"/>
  <c r="R11" i="1"/>
  <c r="AA11" i="1" s="1"/>
  <c r="O12" i="1"/>
  <c r="X12" i="1" s="1"/>
  <c r="P12" i="1"/>
  <c r="Y12" i="1" s="1"/>
  <c r="Q12" i="1"/>
  <c r="Z12" i="1" s="1"/>
  <c r="R12" i="1"/>
  <c r="AA12" i="1" s="1"/>
  <c r="O13" i="1"/>
  <c r="X13" i="1" s="1"/>
  <c r="P13" i="1"/>
  <c r="Y13" i="1" s="1"/>
  <c r="Q13" i="1"/>
  <c r="Z13" i="1" s="1"/>
  <c r="R13" i="1"/>
  <c r="AA13" i="1" s="1"/>
  <c r="O14" i="1"/>
  <c r="X14" i="1" s="1"/>
  <c r="P14" i="1"/>
  <c r="Y14" i="1" s="1"/>
  <c r="Q14" i="1"/>
  <c r="Z14" i="1" s="1"/>
  <c r="R14" i="1"/>
  <c r="AA14" i="1" s="1"/>
  <c r="O15" i="1"/>
  <c r="P15" i="1"/>
  <c r="Q15" i="1"/>
  <c r="R15" i="1"/>
  <c r="O16" i="1"/>
  <c r="X16" i="1" s="1"/>
  <c r="P16" i="1"/>
  <c r="Y16" i="1" s="1"/>
  <c r="Q16" i="1"/>
  <c r="Z16" i="1" s="1"/>
  <c r="R16" i="1"/>
  <c r="AA16" i="1" s="1"/>
  <c r="O17" i="1"/>
  <c r="X17" i="1" s="1"/>
  <c r="P17" i="1"/>
  <c r="Y17" i="1" s="1"/>
  <c r="Q17" i="1"/>
  <c r="Z17" i="1" s="1"/>
  <c r="R17" i="1"/>
  <c r="AA17" i="1" s="1"/>
  <c r="O18" i="1"/>
  <c r="X18" i="1" s="1"/>
  <c r="P18" i="1"/>
  <c r="Y18" i="1" s="1"/>
  <c r="Q18" i="1"/>
  <c r="Z18" i="1" s="1"/>
  <c r="R18" i="1"/>
  <c r="AA18" i="1" s="1"/>
  <c r="O19" i="1"/>
  <c r="X19" i="1" s="1"/>
  <c r="P19" i="1"/>
  <c r="Y19" i="1" s="1"/>
  <c r="Q19" i="1"/>
  <c r="Z19" i="1" s="1"/>
  <c r="R19" i="1"/>
  <c r="AA19" i="1" s="1"/>
  <c r="O20" i="1"/>
  <c r="X20" i="1" s="1"/>
  <c r="P20" i="1"/>
  <c r="Y20" i="1" s="1"/>
  <c r="Q20" i="1"/>
  <c r="Z20" i="1" s="1"/>
  <c r="R20" i="1"/>
  <c r="AA20" i="1" s="1"/>
  <c r="O21" i="1"/>
  <c r="X21" i="1" s="1"/>
  <c r="P21" i="1"/>
  <c r="Y21" i="1" s="1"/>
  <c r="Q21" i="1"/>
  <c r="Z21" i="1" s="1"/>
  <c r="R21" i="1"/>
  <c r="AA21" i="1" s="1"/>
  <c r="O22" i="1"/>
  <c r="X22" i="1" s="1"/>
  <c r="P22" i="1"/>
  <c r="Y22" i="1" s="1"/>
  <c r="Q22" i="1"/>
  <c r="Z22" i="1" s="1"/>
  <c r="R22" i="1"/>
  <c r="AA22" i="1" s="1"/>
  <c r="O23" i="1"/>
  <c r="X23" i="1" s="1"/>
  <c r="P23" i="1"/>
  <c r="Y23" i="1" s="1"/>
  <c r="Q23" i="1"/>
  <c r="Z23" i="1" s="1"/>
  <c r="R23" i="1"/>
  <c r="AA23" i="1" s="1"/>
  <c r="O24" i="1"/>
  <c r="X24" i="1" s="1"/>
  <c r="P24" i="1"/>
  <c r="Y24" i="1" s="1"/>
  <c r="Q24" i="1"/>
  <c r="Z24" i="1" s="1"/>
  <c r="R24" i="1"/>
  <c r="AA24" i="1" s="1"/>
  <c r="O25" i="1"/>
  <c r="X25" i="1" s="1"/>
  <c r="P25" i="1"/>
  <c r="Y25" i="1" s="1"/>
  <c r="Q25" i="1"/>
  <c r="Z25" i="1" s="1"/>
  <c r="R25" i="1"/>
  <c r="AA25" i="1" s="1"/>
  <c r="O26" i="1"/>
  <c r="X26" i="1" s="1"/>
  <c r="P26" i="1"/>
  <c r="Y26" i="1" s="1"/>
  <c r="Q26" i="1"/>
  <c r="Z26" i="1" s="1"/>
  <c r="R26" i="1"/>
  <c r="AA26" i="1" s="1"/>
  <c r="O27" i="1"/>
  <c r="X27" i="1" s="1"/>
  <c r="P27" i="1"/>
  <c r="Y27" i="1" s="1"/>
  <c r="Q27" i="1"/>
  <c r="Z27" i="1" s="1"/>
  <c r="R27" i="1"/>
  <c r="AA27" i="1" s="1"/>
  <c r="O28" i="1"/>
  <c r="X28" i="1" s="1"/>
  <c r="P28" i="1"/>
  <c r="Y28" i="1" s="1"/>
  <c r="Q28" i="1"/>
  <c r="Z28" i="1" s="1"/>
  <c r="R28" i="1"/>
  <c r="AA28" i="1" s="1"/>
  <c r="O29" i="1"/>
  <c r="X29" i="1" s="1"/>
  <c r="P29" i="1"/>
  <c r="Y29" i="1" s="1"/>
  <c r="Q29" i="1"/>
  <c r="Z29" i="1" s="1"/>
  <c r="R29" i="1"/>
  <c r="AA29" i="1" s="1"/>
  <c r="O30" i="1"/>
  <c r="X30" i="1" s="1"/>
  <c r="P30" i="1"/>
  <c r="Y30" i="1" s="1"/>
  <c r="Q30" i="1"/>
  <c r="Z30" i="1" s="1"/>
  <c r="R30" i="1"/>
  <c r="AA30" i="1" s="1"/>
  <c r="O31" i="1"/>
  <c r="X31" i="1" s="1"/>
  <c r="P31" i="1"/>
  <c r="Y31" i="1" s="1"/>
  <c r="Q31" i="1"/>
  <c r="Z31" i="1" s="1"/>
  <c r="R31" i="1"/>
  <c r="AA31" i="1" s="1"/>
  <c r="O32" i="1"/>
  <c r="X32" i="1" s="1"/>
  <c r="P32" i="1"/>
  <c r="Y32" i="1" s="1"/>
  <c r="Q32" i="1"/>
  <c r="Z32" i="1" s="1"/>
  <c r="R32" i="1"/>
  <c r="AA32" i="1" s="1"/>
  <c r="O33" i="1"/>
  <c r="X33" i="1" s="1"/>
  <c r="P33" i="1"/>
  <c r="Y33" i="1" s="1"/>
  <c r="Q33" i="1"/>
  <c r="Z33" i="1" s="1"/>
  <c r="R33" i="1"/>
  <c r="AA33" i="1" s="1"/>
  <c r="O34" i="1"/>
  <c r="X34" i="1" s="1"/>
  <c r="P34" i="1"/>
  <c r="Y34" i="1" s="1"/>
  <c r="Q34" i="1"/>
  <c r="Z34" i="1" s="1"/>
  <c r="R34" i="1"/>
  <c r="AA34" i="1" s="1"/>
  <c r="O35" i="1"/>
  <c r="X35" i="1" s="1"/>
  <c r="P35" i="1"/>
  <c r="Y35" i="1" s="1"/>
  <c r="Q35" i="1"/>
  <c r="Z35" i="1" s="1"/>
  <c r="R35" i="1"/>
  <c r="AA35" i="1" s="1"/>
  <c r="O36" i="1"/>
  <c r="X36" i="1" s="1"/>
  <c r="P36" i="1"/>
  <c r="Y36" i="1" s="1"/>
  <c r="Q36" i="1"/>
  <c r="Z36" i="1" s="1"/>
  <c r="R36" i="1"/>
  <c r="AA36" i="1" s="1"/>
  <c r="O37" i="1"/>
  <c r="X37" i="1" s="1"/>
  <c r="P37" i="1"/>
  <c r="Y37" i="1" s="1"/>
  <c r="Q37" i="1"/>
  <c r="Z37" i="1" s="1"/>
  <c r="R37" i="1"/>
  <c r="AA37" i="1" s="1"/>
  <c r="O38" i="1"/>
  <c r="X38" i="1" s="1"/>
  <c r="P38" i="1"/>
  <c r="Y38" i="1" s="1"/>
  <c r="Q38" i="1"/>
  <c r="Z38" i="1" s="1"/>
  <c r="R38" i="1"/>
  <c r="AA38" i="1" s="1"/>
  <c r="O39" i="1"/>
  <c r="X39" i="1" s="1"/>
  <c r="P39" i="1"/>
  <c r="Y39" i="1" s="1"/>
  <c r="Q39" i="1"/>
  <c r="Z39" i="1" s="1"/>
  <c r="R39" i="1"/>
  <c r="AA39" i="1" s="1"/>
  <c r="O40" i="1"/>
  <c r="X40" i="1" s="1"/>
  <c r="P40" i="1"/>
  <c r="Y40" i="1" s="1"/>
  <c r="Q40" i="1"/>
  <c r="Z40" i="1" s="1"/>
  <c r="R40" i="1"/>
  <c r="AA40" i="1" s="1"/>
  <c r="O41" i="1"/>
  <c r="X41" i="1" s="1"/>
  <c r="P41" i="1"/>
  <c r="Y41" i="1" s="1"/>
  <c r="Q41" i="1"/>
  <c r="Z41" i="1" s="1"/>
  <c r="R41" i="1"/>
  <c r="AA41" i="1" s="1"/>
  <c r="O42" i="1"/>
  <c r="X42" i="1" s="1"/>
  <c r="P42" i="1"/>
  <c r="Y42" i="1" s="1"/>
  <c r="Q42" i="1"/>
  <c r="Z42" i="1" s="1"/>
  <c r="R42" i="1"/>
  <c r="AA42" i="1" s="1"/>
  <c r="O43" i="1"/>
  <c r="X43" i="1" s="1"/>
  <c r="P43" i="1"/>
  <c r="Y43" i="1" s="1"/>
  <c r="Q43" i="1"/>
  <c r="Z43" i="1" s="1"/>
  <c r="R43" i="1"/>
  <c r="AA43" i="1" s="1"/>
  <c r="O44" i="1"/>
  <c r="X44" i="1" s="1"/>
  <c r="P44" i="1"/>
  <c r="Y44" i="1" s="1"/>
  <c r="Q44" i="1"/>
  <c r="Z44" i="1" s="1"/>
  <c r="R44" i="1"/>
  <c r="AA44" i="1" s="1"/>
  <c r="O45" i="1"/>
  <c r="X45" i="1" s="1"/>
  <c r="P45" i="1"/>
  <c r="Y45" i="1" s="1"/>
  <c r="Q45" i="1"/>
  <c r="Z45" i="1" s="1"/>
  <c r="R45" i="1"/>
  <c r="AA45" i="1" s="1"/>
  <c r="O46" i="1"/>
  <c r="X46" i="1" s="1"/>
  <c r="P46" i="1"/>
  <c r="Y46" i="1" s="1"/>
  <c r="Q46" i="1"/>
  <c r="Z46" i="1" s="1"/>
  <c r="R46" i="1"/>
  <c r="AA46" i="1" s="1"/>
  <c r="O47" i="1"/>
  <c r="X47" i="1" s="1"/>
  <c r="P47" i="1"/>
  <c r="Y47" i="1" s="1"/>
  <c r="Q47" i="1"/>
  <c r="Z47" i="1" s="1"/>
  <c r="R47" i="1"/>
  <c r="AA47" i="1" s="1"/>
  <c r="P2" i="1"/>
  <c r="Y2" i="1" s="1"/>
  <c r="Q2" i="1"/>
  <c r="Z2" i="1" s="1"/>
  <c r="R2" i="1"/>
  <c r="AA2" i="1" s="1"/>
  <c r="O2" i="1"/>
  <c r="X2" i="1" s="1"/>
  <c r="K2" i="2" l="1"/>
  <c r="R5" i="2"/>
  <c r="R2" i="2" s="1"/>
  <c r="AA3" i="1"/>
  <c r="Z3" i="1"/>
  <c r="Y3" i="1"/>
  <c r="X3" i="1"/>
  <c r="AE3" i="1"/>
  <c r="AD3" i="1"/>
  <c r="AC3" i="1"/>
  <c r="AB3" i="1"/>
</calcChain>
</file>

<file path=xl/sharedStrings.xml><?xml version="1.0" encoding="utf-8"?>
<sst xmlns="http://schemas.openxmlformats.org/spreadsheetml/2006/main" count="37" uniqueCount="25">
  <si>
    <t>Start time</t>
  </si>
  <si>
    <t>The count of motorcycles is not accurate</t>
  </si>
  <si>
    <t>veh/43min</t>
  </si>
  <si>
    <t>veh/hr</t>
    <phoneticPr fontId="18" type="noConversion"/>
  </si>
  <si>
    <t>count time (s)</t>
  </si>
  <si>
    <t>exit_car</t>
  </si>
  <si>
    <t>exit_motorcycle</t>
  </si>
  <si>
    <t>exit_bus</t>
  </si>
  <si>
    <t>exit_truck</t>
  </si>
  <si>
    <t>main road_car</t>
  </si>
  <si>
    <t>main road_motorcycle</t>
  </si>
  <si>
    <t>main road_bus</t>
  </si>
  <si>
    <t>main_road_truck</t>
  </si>
  <si>
    <t>exit total (without motorcycles)</t>
    <phoneticPr fontId="18" type="noConversion"/>
  </si>
  <si>
    <t>main road total (without motorcycles)</t>
    <phoneticPr fontId="18" type="noConversion"/>
  </si>
  <si>
    <t>total (without motorcycles)</t>
  </si>
  <si>
    <t>time (s)</t>
    <phoneticPr fontId="18" type="noConversion"/>
  </si>
  <si>
    <t>exit_car</t>
    <phoneticPr fontId="18" type="noConversion"/>
  </si>
  <si>
    <t>exit_motorcycle</t>
    <phoneticPr fontId="18" type="noConversion"/>
  </si>
  <si>
    <t>exit_bus</t>
    <phoneticPr fontId="18" type="noConversion"/>
  </si>
  <si>
    <t>exit_truck</t>
    <phoneticPr fontId="18" type="noConversion"/>
  </si>
  <si>
    <t>main road_car</t>
    <phoneticPr fontId="18" type="noConversion"/>
  </si>
  <si>
    <t>main road_motorcycle</t>
    <phoneticPr fontId="18" type="noConversion"/>
  </si>
  <si>
    <t>main road_bus</t>
    <phoneticPr fontId="18" type="noConversion"/>
  </si>
  <si>
    <t>main_road_truck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</si>
</sst>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6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Results!$K$4</c:f>
              <c:strCache>
                <c:ptCount val="1"/>
                <c:pt idx="0">
                  <c:v>exit total (without motorcycles)</c:v>
                </c:pt>
              </c:strCache>
            </c:strRef>
          </c:tx>
          <c:spPr>
            <a:ln w="28575">
              <a:solidFill>
                <a:srgbClr val="9BBB59"/>
              </a:solidFill>
              <a:prstDash val="solid"/>
            </a:ln>
            <a:effectLst/>
          </c:spPr>
          <c:marker>
            <c:symbol val="none"/>
          </c:marker>
          <c:trendline>
            <c:spPr>
              <a:ln w="9525">
                <a:solidFill>
                  <a:srgbClr val="9BBB59"/>
                </a:solidFill>
                <a:prstDash val="sysDot"/>
              </a:ln>
            </c:spPr>
            <c:trendlineType val="movingAvg"/>
            <c:period val="10"/>
            <c:dispRSqr val="0"/>
            <c:dispEq val="0"/>
          </c:trendline>
          <c:cat>
            <c:numRef>
              <c:f>Results!$A$5:$A$50</c:f>
              <c:numCache>
                <c:formatCode>General</c:formatCode>
                <c:ptCount val="46"/>
                <c:pt idx="0">
                  <c:v>60.04</c:v>
                </c:pt>
                <c:pt idx="1">
                  <c:v>120.08</c:v>
                </c:pt>
                <c:pt idx="2">
                  <c:v>180.12</c:v>
                </c:pt>
                <c:pt idx="3">
                  <c:v>240.16</c:v>
                </c:pt>
                <c:pt idx="4">
                  <c:v>300.2</c:v>
                </c:pt>
                <c:pt idx="5">
                  <c:v>360.24</c:v>
                </c:pt>
                <c:pt idx="6">
                  <c:v>420.28</c:v>
                </c:pt>
                <c:pt idx="7">
                  <c:v>480.33</c:v>
                </c:pt>
                <c:pt idx="8">
                  <c:v>540.37</c:v>
                </c:pt>
                <c:pt idx="9">
                  <c:v>600.41</c:v>
                </c:pt>
                <c:pt idx="10">
                  <c:v>660.45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900.04</c:v>
                </c:pt>
                <c:pt idx="15">
                  <c:v>960.08</c:v>
                </c:pt>
                <c:pt idx="16">
                  <c:v>1020.12</c:v>
                </c:pt>
                <c:pt idx="17">
                  <c:v>1080.1600000000001</c:v>
                </c:pt>
                <c:pt idx="18">
                  <c:v>1140.2</c:v>
                </c:pt>
                <c:pt idx="19">
                  <c:v>1200.24</c:v>
                </c:pt>
                <c:pt idx="20">
                  <c:v>1260.28</c:v>
                </c:pt>
                <c:pt idx="21">
                  <c:v>1320.33</c:v>
                </c:pt>
                <c:pt idx="22">
                  <c:v>1380.37</c:v>
                </c:pt>
                <c:pt idx="23">
                  <c:v>1440.4099999999999</c:v>
                </c:pt>
                <c:pt idx="24">
                  <c:v>1500.45</c:v>
                </c:pt>
                <c:pt idx="25">
                  <c:v>1560.49</c:v>
                </c:pt>
                <c:pt idx="26">
                  <c:v>1620.53</c:v>
                </c:pt>
                <c:pt idx="27">
                  <c:v>1680.5700000000002</c:v>
                </c:pt>
                <c:pt idx="28">
                  <c:v>1740.6100000000001</c:v>
                </c:pt>
                <c:pt idx="29">
                  <c:v>1800.65</c:v>
                </c:pt>
                <c:pt idx="30">
                  <c:v>1860.69</c:v>
                </c:pt>
                <c:pt idx="31">
                  <c:v>1920.73</c:v>
                </c:pt>
                <c:pt idx="32">
                  <c:v>1980.77</c:v>
                </c:pt>
                <c:pt idx="33">
                  <c:v>2040.81</c:v>
                </c:pt>
                <c:pt idx="34">
                  <c:v>2100.85</c:v>
                </c:pt>
                <c:pt idx="35">
                  <c:v>2160.9</c:v>
                </c:pt>
                <c:pt idx="36">
                  <c:v>2220.94</c:v>
                </c:pt>
                <c:pt idx="37">
                  <c:v>2280.98</c:v>
                </c:pt>
                <c:pt idx="38">
                  <c:v>2341.02</c:v>
                </c:pt>
                <c:pt idx="39">
                  <c:v>2401.06</c:v>
                </c:pt>
                <c:pt idx="40">
                  <c:v>2461.1</c:v>
                </c:pt>
                <c:pt idx="41">
                  <c:v>2521.1400000000003</c:v>
                </c:pt>
                <c:pt idx="42">
                  <c:v>2581.1800000000003</c:v>
                </c:pt>
                <c:pt idx="43">
                  <c:v>2641.2200000000003</c:v>
                </c:pt>
                <c:pt idx="44">
                  <c:v>2701.26</c:v>
                </c:pt>
                <c:pt idx="45">
                  <c:v>2761.3</c:v>
                </c:pt>
              </c:numCache>
            </c:numRef>
          </c:cat>
          <c:val>
            <c:numRef>
              <c:f>Results!$K$5:$K$50</c:f>
              <c:numCache>
                <c:formatCode>General</c:formatCode>
                <c:ptCount val="46"/>
                <c:pt idx="0">
                  <c:v>42</c:v>
                </c:pt>
                <c:pt idx="1">
                  <c:v>39</c:v>
                </c:pt>
                <c:pt idx="2">
                  <c:v>47</c:v>
                </c:pt>
                <c:pt idx="3">
                  <c:v>45</c:v>
                </c:pt>
                <c:pt idx="4">
                  <c:v>45</c:v>
                </c:pt>
                <c:pt idx="5">
                  <c:v>44</c:v>
                </c:pt>
                <c:pt idx="6">
                  <c:v>40</c:v>
                </c:pt>
                <c:pt idx="7">
                  <c:v>37</c:v>
                </c:pt>
                <c:pt idx="8">
                  <c:v>36</c:v>
                </c:pt>
                <c:pt idx="9">
                  <c:v>43</c:v>
                </c:pt>
                <c:pt idx="10">
                  <c:v>43</c:v>
                </c:pt>
                <c:pt idx="14">
                  <c:v>41</c:v>
                </c:pt>
                <c:pt idx="15">
                  <c:v>34</c:v>
                </c:pt>
                <c:pt idx="16">
                  <c:v>47</c:v>
                </c:pt>
                <c:pt idx="17">
                  <c:v>42</c:v>
                </c:pt>
                <c:pt idx="18">
                  <c:v>42</c:v>
                </c:pt>
                <c:pt idx="19">
                  <c:v>37</c:v>
                </c:pt>
                <c:pt idx="20">
                  <c:v>35</c:v>
                </c:pt>
                <c:pt idx="21">
                  <c:v>40</c:v>
                </c:pt>
                <c:pt idx="22">
                  <c:v>41</c:v>
                </c:pt>
                <c:pt idx="23">
                  <c:v>37</c:v>
                </c:pt>
                <c:pt idx="24">
                  <c:v>40</c:v>
                </c:pt>
                <c:pt idx="25">
                  <c:v>41</c:v>
                </c:pt>
                <c:pt idx="26">
                  <c:v>43</c:v>
                </c:pt>
                <c:pt idx="27">
                  <c:v>40</c:v>
                </c:pt>
                <c:pt idx="28">
                  <c:v>41</c:v>
                </c:pt>
                <c:pt idx="29">
                  <c:v>39</c:v>
                </c:pt>
                <c:pt idx="30">
                  <c:v>32</c:v>
                </c:pt>
                <c:pt idx="31">
                  <c:v>44</c:v>
                </c:pt>
                <c:pt idx="32">
                  <c:v>34</c:v>
                </c:pt>
                <c:pt idx="33">
                  <c:v>35</c:v>
                </c:pt>
                <c:pt idx="34">
                  <c:v>37</c:v>
                </c:pt>
                <c:pt idx="35">
                  <c:v>30</c:v>
                </c:pt>
                <c:pt idx="36">
                  <c:v>35</c:v>
                </c:pt>
                <c:pt idx="37">
                  <c:v>39</c:v>
                </c:pt>
                <c:pt idx="38">
                  <c:v>40</c:v>
                </c:pt>
                <c:pt idx="39">
                  <c:v>40</c:v>
                </c:pt>
                <c:pt idx="40">
                  <c:v>39</c:v>
                </c:pt>
                <c:pt idx="41">
                  <c:v>44</c:v>
                </c:pt>
                <c:pt idx="42">
                  <c:v>42</c:v>
                </c:pt>
                <c:pt idx="43">
                  <c:v>45</c:v>
                </c:pt>
                <c:pt idx="44">
                  <c:v>36</c:v>
                </c:pt>
                <c:pt idx="45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9A-44CA-BD45-681FC8C4906E}"/>
            </c:ext>
          </c:extLst>
        </c:ser>
        <c:ser>
          <c:idx val="1"/>
          <c:order val="1"/>
          <c:tx>
            <c:strRef>
              <c:f>Results!$N$4</c:f>
              <c:strCache>
                <c:ptCount val="1"/>
                <c:pt idx="0">
                  <c:v>main road total (without motorcycles)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9525" cap="flat" cmpd="sng" algn="ctr">
                <a:solidFill>
                  <a:srgbClr val="C0504D"/>
                </a:solidFill>
                <a:prstDash val="sysDot"/>
                <a:round/>
                <a:headEnd type="none" w="med" len="med"/>
                <a:tailEnd type="none" w="med" len="med"/>
              </a:ln>
            </c:spPr>
            <c:trendlineType val="movingAvg"/>
            <c:period val="10"/>
            <c:dispRSqr val="0"/>
            <c:dispEq val="0"/>
          </c:trendline>
          <c:cat>
            <c:numRef>
              <c:f>Results!$A$5:$A$50</c:f>
              <c:numCache>
                <c:formatCode>General</c:formatCode>
                <c:ptCount val="46"/>
                <c:pt idx="0">
                  <c:v>60.04</c:v>
                </c:pt>
                <c:pt idx="1">
                  <c:v>120.08</c:v>
                </c:pt>
                <c:pt idx="2">
                  <c:v>180.12</c:v>
                </c:pt>
                <c:pt idx="3">
                  <c:v>240.16</c:v>
                </c:pt>
                <c:pt idx="4">
                  <c:v>300.2</c:v>
                </c:pt>
                <c:pt idx="5">
                  <c:v>360.24</c:v>
                </c:pt>
                <c:pt idx="6">
                  <c:v>420.28</c:v>
                </c:pt>
                <c:pt idx="7">
                  <c:v>480.33</c:v>
                </c:pt>
                <c:pt idx="8">
                  <c:v>540.37</c:v>
                </c:pt>
                <c:pt idx="9">
                  <c:v>600.41</c:v>
                </c:pt>
                <c:pt idx="10">
                  <c:v>660.45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900.04</c:v>
                </c:pt>
                <c:pt idx="15">
                  <c:v>960.08</c:v>
                </c:pt>
                <c:pt idx="16">
                  <c:v>1020.12</c:v>
                </c:pt>
                <c:pt idx="17">
                  <c:v>1080.1600000000001</c:v>
                </c:pt>
                <c:pt idx="18">
                  <c:v>1140.2</c:v>
                </c:pt>
                <c:pt idx="19">
                  <c:v>1200.24</c:v>
                </c:pt>
                <c:pt idx="20">
                  <c:v>1260.28</c:v>
                </c:pt>
                <c:pt idx="21">
                  <c:v>1320.33</c:v>
                </c:pt>
                <c:pt idx="22">
                  <c:v>1380.37</c:v>
                </c:pt>
                <c:pt idx="23">
                  <c:v>1440.4099999999999</c:v>
                </c:pt>
                <c:pt idx="24">
                  <c:v>1500.45</c:v>
                </c:pt>
                <c:pt idx="25">
                  <c:v>1560.49</c:v>
                </c:pt>
                <c:pt idx="26">
                  <c:v>1620.53</c:v>
                </c:pt>
                <c:pt idx="27">
                  <c:v>1680.5700000000002</c:v>
                </c:pt>
                <c:pt idx="28">
                  <c:v>1740.6100000000001</c:v>
                </c:pt>
                <c:pt idx="29">
                  <c:v>1800.65</c:v>
                </c:pt>
                <c:pt idx="30">
                  <c:v>1860.69</c:v>
                </c:pt>
                <c:pt idx="31">
                  <c:v>1920.73</c:v>
                </c:pt>
                <c:pt idx="32">
                  <c:v>1980.77</c:v>
                </c:pt>
                <c:pt idx="33">
                  <c:v>2040.81</c:v>
                </c:pt>
                <c:pt idx="34">
                  <c:v>2100.85</c:v>
                </c:pt>
                <c:pt idx="35">
                  <c:v>2160.9</c:v>
                </c:pt>
                <c:pt idx="36">
                  <c:v>2220.94</c:v>
                </c:pt>
                <c:pt idx="37">
                  <c:v>2280.98</c:v>
                </c:pt>
                <c:pt idx="38">
                  <c:v>2341.02</c:v>
                </c:pt>
                <c:pt idx="39">
                  <c:v>2401.06</c:v>
                </c:pt>
                <c:pt idx="40">
                  <c:v>2461.1</c:v>
                </c:pt>
                <c:pt idx="41">
                  <c:v>2521.1400000000003</c:v>
                </c:pt>
                <c:pt idx="42">
                  <c:v>2581.1800000000003</c:v>
                </c:pt>
                <c:pt idx="43">
                  <c:v>2641.2200000000003</c:v>
                </c:pt>
                <c:pt idx="44">
                  <c:v>2701.26</c:v>
                </c:pt>
                <c:pt idx="45">
                  <c:v>2761.3</c:v>
                </c:pt>
              </c:numCache>
            </c:numRef>
          </c:cat>
          <c:val>
            <c:numRef>
              <c:f>Results!$N$5:$N$50</c:f>
              <c:numCache>
                <c:formatCode>General</c:formatCode>
                <c:ptCount val="46"/>
                <c:pt idx="0">
                  <c:v>46</c:v>
                </c:pt>
                <c:pt idx="1">
                  <c:v>50</c:v>
                </c:pt>
                <c:pt idx="2">
                  <c:v>42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55</c:v>
                </c:pt>
                <c:pt idx="7">
                  <c:v>38</c:v>
                </c:pt>
                <c:pt idx="8">
                  <c:v>53</c:v>
                </c:pt>
                <c:pt idx="9">
                  <c:v>53</c:v>
                </c:pt>
                <c:pt idx="10">
                  <c:v>47</c:v>
                </c:pt>
                <c:pt idx="14">
                  <c:v>45</c:v>
                </c:pt>
                <c:pt idx="15">
                  <c:v>54</c:v>
                </c:pt>
                <c:pt idx="16">
                  <c:v>43</c:v>
                </c:pt>
                <c:pt idx="17">
                  <c:v>42</c:v>
                </c:pt>
                <c:pt idx="18">
                  <c:v>50</c:v>
                </c:pt>
                <c:pt idx="19">
                  <c:v>67</c:v>
                </c:pt>
                <c:pt idx="20">
                  <c:v>44</c:v>
                </c:pt>
                <c:pt idx="21">
                  <c:v>48</c:v>
                </c:pt>
                <c:pt idx="22">
                  <c:v>54</c:v>
                </c:pt>
                <c:pt idx="23">
                  <c:v>43</c:v>
                </c:pt>
                <c:pt idx="24">
                  <c:v>44</c:v>
                </c:pt>
                <c:pt idx="25">
                  <c:v>50</c:v>
                </c:pt>
                <c:pt idx="26">
                  <c:v>37</c:v>
                </c:pt>
                <c:pt idx="27">
                  <c:v>49</c:v>
                </c:pt>
                <c:pt idx="28">
                  <c:v>44</c:v>
                </c:pt>
                <c:pt idx="29">
                  <c:v>50</c:v>
                </c:pt>
                <c:pt idx="30">
                  <c:v>54</c:v>
                </c:pt>
                <c:pt idx="31">
                  <c:v>47</c:v>
                </c:pt>
                <c:pt idx="32">
                  <c:v>35</c:v>
                </c:pt>
                <c:pt idx="33">
                  <c:v>48</c:v>
                </c:pt>
                <c:pt idx="34">
                  <c:v>59</c:v>
                </c:pt>
                <c:pt idx="35">
                  <c:v>47</c:v>
                </c:pt>
                <c:pt idx="36">
                  <c:v>44</c:v>
                </c:pt>
                <c:pt idx="37">
                  <c:v>45</c:v>
                </c:pt>
                <c:pt idx="38">
                  <c:v>47</c:v>
                </c:pt>
                <c:pt idx="39">
                  <c:v>47</c:v>
                </c:pt>
                <c:pt idx="40">
                  <c:v>36</c:v>
                </c:pt>
                <c:pt idx="41">
                  <c:v>47</c:v>
                </c:pt>
                <c:pt idx="42">
                  <c:v>48</c:v>
                </c:pt>
                <c:pt idx="43">
                  <c:v>50</c:v>
                </c:pt>
                <c:pt idx="44">
                  <c:v>51</c:v>
                </c:pt>
                <c:pt idx="45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99A-44CA-BD45-681FC8C49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50944"/>
        <c:axId val="157652864"/>
      </c:lineChart>
      <c:catAx>
        <c:axId val="157650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7652864"/>
        <c:crosses val="autoZero"/>
        <c:auto val="1"/>
        <c:lblAlgn val="ctr"/>
        <c:lblOffset val="100"/>
        <c:noMultiLvlLbl val="0"/>
      </c:catAx>
      <c:valAx>
        <c:axId val="15765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veh/min (approx.)</a:t>
                </a:r>
              </a:p>
            </c:rich>
          </c:tx>
          <c:layout>
            <c:manualLayout>
              <c:xMode val="edge"/>
              <c:yMode val="edge"/>
              <c:x val="1.7013998250218723E-2"/>
              <c:y val="0.19478696829886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765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10"/>
            <c:dispRSqr val="0"/>
            <c:dispEq val="0"/>
          </c:trendline>
          <c:cat>
            <c:numRef>
              <c:f>Results!A5:A50</c:f>
              <c:numCache>
                <c:formatCode>General</c:formatCode>
                <c:ptCount val="46"/>
                <c:pt idx="0">
                  <c:v>60.04</c:v>
                </c:pt>
                <c:pt idx="1">
                  <c:v>120.08</c:v>
                </c:pt>
                <c:pt idx="2">
                  <c:v>180.12</c:v>
                </c:pt>
                <c:pt idx="3">
                  <c:v>240.16</c:v>
                </c:pt>
                <c:pt idx="4">
                  <c:v>300.2</c:v>
                </c:pt>
                <c:pt idx="5">
                  <c:v>360.24</c:v>
                </c:pt>
                <c:pt idx="6">
                  <c:v>420.28</c:v>
                </c:pt>
                <c:pt idx="7">
                  <c:v>480.33</c:v>
                </c:pt>
                <c:pt idx="8">
                  <c:v>540.37</c:v>
                </c:pt>
                <c:pt idx="9">
                  <c:v>600.41</c:v>
                </c:pt>
                <c:pt idx="10">
                  <c:v>660.45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900.04</c:v>
                </c:pt>
                <c:pt idx="15">
                  <c:v>960.08</c:v>
                </c:pt>
                <c:pt idx="16">
                  <c:v>1020.12</c:v>
                </c:pt>
                <c:pt idx="17">
                  <c:v>1080.1600000000001</c:v>
                </c:pt>
                <c:pt idx="18">
                  <c:v>1140.2</c:v>
                </c:pt>
                <c:pt idx="19">
                  <c:v>1200.24</c:v>
                </c:pt>
                <c:pt idx="20">
                  <c:v>1260.28</c:v>
                </c:pt>
                <c:pt idx="21">
                  <c:v>1320.33</c:v>
                </c:pt>
                <c:pt idx="22">
                  <c:v>1380.37</c:v>
                </c:pt>
                <c:pt idx="23">
                  <c:v>1440.4099999999999</c:v>
                </c:pt>
                <c:pt idx="24">
                  <c:v>1500.45</c:v>
                </c:pt>
                <c:pt idx="25">
                  <c:v>1560.49</c:v>
                </c:pt>
                <c:pt idx="26">
                  <c:v>1620.53</c:v>
                </c:pt>
                <c:pt idx="27">
                  <c:v>1680.5700000000002</c:v>
                </c:pt>
                <c:pt idx="28">
                  <c:v>1740.6100000000001</c:v>
                </c:pt>
                <c:pt idx="29">
                  <c:v>1800.65</c:v>
                </c:pt>
                <c:pt idx="30">
                  <c:v>1860.69</c:v>
                </c:pt>
                <c:pt idx="31">
                  <c:v>1920.73</c:v>
                </c:pt>
                <c:pt idx="32">
                  <c:v>1980.77</c:v>
                </c:pt>
                <c:pt idx="33">
                  <c:v>2040.81</c:v>
                </c:pt>
                <c:pt idx="34">
                  <c:v>2100.85</c:v>
                </c:pt>
                <c:pt idx="35">
                  <c:v>2160.9</c:v>
                </c:pt>
                <c:pt idx="36">
                  <c:v>2220.94</c:v>
                </c:pt>
                <c:pt idx="37">
                  <c:v>2280.98</c:v>
                </c:pt>
                <c:pt idx="38">
                  <c:v>2341.02</c:v>
                </c:pt>
                <c:pt idx="39">
                  <c:v>2401.06</c:v>
                </c:pt>
                <c:pt idx="40">
                  <c:v>2461.1</c:v>
                </c:pt>
                <c:pt idx="41">
                  <c:v>2521.1400000000003</c:v>
                </c:pt>
                <c:pt idx="42">
                  <c:v>2581.1800000000003</c:v>
                </c:pt>
                <c:pt idx="43">
                  <c:v>2641.2200000000003</c:v>
                </c:pt>
                <c:pt idx="44">
                  <c:v>2701.26</c:v>
                </c:pt>
                <c:pt idx="45">
                  <c:v>2761.3</c:v>
                </c:pt>
              </c:numCache>
            </c:numRef>
          </c:cat>
          <c:val>
            <c:numRef>
              <c:f>Results!$R$5:$R$50</c:f>
              <c:numCache>
                <c:formatCode>General</c:formatCode>
                <c:ptCount val="46"/>
                <c:pt idx="0">
                  <c:v>88</c:v>
                </c:pt>
                <c:pt idx="1">
                  <c:v>89</c:v>
                </c:pt>
                <c:pt idx="2">
                  <c:v>89</c:v>
                </c:pt>
                <c:pt idx="3">
                  <c:v>90</c:v>
                </c:pt>
                <c:pt idx="4">
                  <c:v>91</c:v>
                </c:pt>
                <c:pt idx="5">
                  <c:v>91</c:v>
                </c:pt>
                <c:pt idx="6">
                  <c:v>95</c:v>
                </c:pt>
                <c:pt idx="7">
                  <c:v>75</c:v>
                </c:pt>
                <c:pt idx="8">
                  <c:v>89</c:v>
                </c:pt>
                <c:pt idx="9">
                  <c:v>96</c:v>
                </c:pt>
                <c:pt idx="10">
                  <c:v>90</c:v>
                </c:pt>
                <c:pt idx="14">
                  <c:v>86</c:v>
                </c:pt>
                <c:pt idx="15">
                  <c:v>88</c:v>
                </c:pt>
                <c:pt idx="16">
                  <c:v>90</c:v>
                </c:pt>
                <c:pt idx="17">
                  <c:v>84</c:v>
                </c:pt>
                <c:pt idx="18">
                  <c:v>92</c:v>
                </c:pt>
                <c:pt idx="19">
                  <c:v>104</c:v>
                </c:pt>
                <c:pt idx="20">
                  <c:v>79</c:v>
                </c:pt>
                <c:pt idx="21">
                  <c:v>88</c:v>
                </c:pt>
                <c:pt idx="22">
                  <c:v>95</c:v>
                </c:pt>
                <c:pt idx="23">
                  <c:v>80</c:v>
                </c:pt>
                <c:pt idx="24">
                  <c:v>84</c:v>
                </c:pt>
                <c:pt idx="25">
                  <c:v>91</c:v>
                </c:pt>
                <c:pt idx="26">
                  <c:v>80</c:v>
                </c:pt>
                <c:pt idx="27">
                  <c:v>89</c:v>
                </c:pt>
                <c:pt idx="28">
                  <c:v>85</c:v>
                </c:pt>
                <c:pt idx="29">
                  <c:v>89</c:v>
                </c:pt>
                <c:pt idx="30">
                  <c:v>86</c:v>
                </c:pt>
                <c:pt idx="31">
                  <c:v>91</c:v>
                </c:pt>
                <c:pt idx="32">
                  <c:v>69</c:v>
                </c:pt>
                <c:pt idx="33">
                  <c:v>83</c:v>
                </c:pt>
                <c:pt idx="34">
                  <c:v>96</c:v>
                </c:pt>
                <c:pt idx="35">
                  <c:v>77</c:v>
                </c:pt>
                <c:pt idx="36">
                  <c:v>79</c:v>
                </c:pt>
                <c:pt idx="37">
                  <c:v>84</c:v>
                </c:pt>
                <c:pt idx="38">
                  <c:v>87</c:v>
                </c:pt>
                <c:pt idx="39">
                  <c:v>87</c:v>
                </c:pt>
                <c:pt idx="40">
                  <c:v>75</c:v>
                </c:pt>
                <c:pt idx="41">
                  <c:v>91</c:v>
                </c:pt>
                <c:pt idx="42">
                  <c:v>90</c:v>
                </c:pt>
                <c:pt idx="43">
                  <c:v>95</c:v>
                </c:pt>
                <c:pt idx="44">
                  <c:v>87</c:v>
                </c:pt>
                <c:pt idx="45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B-4692-83C1-D6275C168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316551"/>
        <c:axId val="1806318599"/>
      </c:lineChart>
      <c:catAx>
        <c:axId val="1806316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time (s)</a:t>
                </a:r>
              </a:p>
            </c:rich>
          </c:tx>
          <c:layout>
            <c:manualLayout>
              <c:xMode val="edge"/>
              <c:yMode val="edge"/>
              <c:x val="0.46313779527559057"/>
              <c:y val="0.836409636774942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318599"/>
        <c:crosses val="autoZero"/>
        <c:auto val="1"/>
        <c:lblAlgn val="ctr"/>
        <c:lblOffset val="100"/>
        <c:noMultiLvlLbl val="0"/>
      </c:catAx>
      <c:valAx>
        <c:axId val="1806318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veh/min (approx)</a:t>
                </a:r>
              </a:p>
            </c:rich>
          </c:tx>
          <c:layout>
            <c:manualLayout>
              <c:xMode val="edge"/>
              <c:yMode val="edge"/>
              <c:x val="2.326388888888889E-2"/>
              <c:y val="0.284322945547299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316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240004374453194"/>
          <c:y val="0.89930537328667237"/>
          <c:w val="0.43253368328958886"/>
          <c:h val="7.9225906620827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5</xdr:row>
      <xdr:rowOff>28575</xdr:rowOff>
    </xdr:from>
    <xdr:to>
      <xdr:col>8</xdr:col>
      <xdr:colOff>133350</xdr:colOff>
      <xdr:row>28</xdr:row>
      <xdr:rowOff>38100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DF58FCB-5284-768D-8607-6C2BF7292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123825</xdr:colOff>
      <xdr:row>5</xdr:row>
      <xdr:rowOff>28575</xdr:rowOff>
    </xdr:from>
    <xdr:to>
      <xdr:col>14</xdr:col>
      <xdr:colOff>581025</xdr:colOff>
      <xdr:row>25</xdr:row>
      <xdr:rowOff>28575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AA72E1D-B7DB-4F55-E187-0FC12C168655}"/>
            </a:ext>
            <a:ext uri="{147F2762-F138-4A5C-976F-8EAC2B608ADB}">
              <a16:predDERef xmlns:a16="http://schemas.microsoft.com/office/drawing/2014/main" pred="{EDF58FCB-5284-768D-8607-6C2BF7292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workbookViewId="0">
      <selection activeCell="K3" sqref="K3"/>
    </sheetView>
  </sheetViews>
  <sheetFormatPr defaultRowHeight="16.149999999999999"/>
  <cols>
    <col min="1" max="1" width="12.625" customWidth="1"/>
  </cols>
  <sheetData>
    <row r="1" spans="1:19">
      <c r="A1" t="s">
        <v>0</v>
      </c>
      <c r="B1" s="1">
        <v>46100</v>
      </c>
      <c r="C1" s="2">
        <v>0.77187499999999998</v>
      </c>
    </row>
    <row r="2" spans="1:19">
      <c r="A2" t="s">
        <v>1</v>
      </c>
      <c r="K2">
        <f>SUM(K5:K50)</f>
        <v>1715</v>
      </c>
      <c r="L2" t="s">
        <v>2</v>
      </c>
      <c r="N2">
        <f t="shared" ref="L2:N2" si="0">SUM(N5:N50)</f>
        <v>2034</v>
      </c>
      <c r="O2" t="s">
        <v>2</v>
      </c>
      <c r="R2">
        <f>SUM(R5:R50)</f>
        <v>3749</v>
      </c>
      <c r="S2" t="s">
        <v>2</v>
      </c>
    </row>
    <row r="3" spans="1:19">
      <c r="K3">
        <f>K2*60/43</f>
        <v>2393.0232558139537</v>
      </c>
      <c r="L3" t="s">
        <v>3</v>
      </c>
      <c r="N3">
        <f>N2*60/43</f>
        <v>2838.1395348837209</v>
      </c>
      <c r="O3" t="s">
        <v>3</v>
      </c>
      <c r="R3">
        <f>R2*60/43</f>
        <v>5231.1627906976746</v>
      </c>
      <c r="S3" t="s">
        <v>3</v>
      </c>
    </row>
    <row r="4" spans="1:19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K4" t="s">
        <v>13</v>
      </c>
      <c r="N4" t="s">
        <v>14</v>
      </c>
      <c r="R4" t="s">
        <v>15</v>
      </c>
    </row>
    <row r="5" spans="1:19">
      <c r="A5">
        <v>60.04</v>
      </c>
      <c r="B5">
        <v>33</v>
      </c>
      <c r="C5">
        <v>4</v>
      </c>
      <c r="D5">
        <v>2</v>
      </c>
      <c r="E5">
        <v>7</v>
      </c>
      <c r="F5">
        <v>30</v>
      </c>
      <c r="G5">
        <v>19</v>
      </c>
      <c r="H5">
        <v>3</v>
      </c>
      <c r="I5">
        <v>13</v>
      </c>
      <c r="K5">
        <f>B5+D5+E5</f>
        <v>42</v>
      </c>
      <c r="N5">
        <f>F5+H5+I5</f>
        <v>46</v>
      </c>
      <c r="R5">
        <f>K5+N5</f>
        <v>88</v>
      </c>
    </row>
    <row r="6" spans="1:19">
      <c r="A6">
        <v>120.08</v>
      </c>
      <c r="B6">
        <v>32</v>
      </c>
      <c r="C6">
        <v>4</v>
      </c>
      <c r="D6">
        <v>1</v>
      </c>
      <c r="E6">
        <v>6</v>
      </c>
      <c r="F6">
        <v>34</v>
      </c>
      <c r="G6">
        <v>19</v>
      </c>
      <c r="H6">
        <v>2</v>
      </c>
      <c r="I6">
        <v>14</v>
      </c>
      <c r="K6">
        <f t="shared" ref="K6:K50" si="1">B6+D6+E6</f>
        <v>39</v>
      </c>
      <c r="N6">
        <f t="shared" ref="N6:N50" si="2">F6+H6+I6</f>
        <v>50</v>
      </c>
      <c r="R6">
        <f t="shared" ref="R6:R50" si="3">K6+N6</f>
        <v>89</v>
      </c>
    </row>
    <row r="7" spans="1:19">
      <c r="A7">
        <v>180.12</v>
      </c>
      <c r="B7">
        <v>44</v>
      </c>
      <c r="C7">
        <v>10</v>
      </c>
      <c r="D7">
        <v>1</v>
      </c>
      <c r="E7">
        <v>2</v>
      </c>
      <c r="F7">
        <v>29</v>
      </c>
      <c r="G7">
        <v>16</v>
      </c>
      <c r="H7">
        <v>2</v>
      </c>
      <c r="I7">
        <v>11</v>
      </c>
      <c r="K7">
        <f t="shared" si="1"/>
        <v>47</v>
      </c>
      <c r="N7">
        <f t="shared" si="2"/>
        <v>42</v>
      </c>
      <c r="R7">
        <f t="shared" si="3"/>
        <v>89</v>
      </c>
    </row>
    <row r="8" spans="1:19">
      <c r="A8">
        <v>240.16</v>
      </c>
      <c r="B8">
        <v>40</v>
      </c>
      <c r="C8">
        <v>9</v>
      </c>
      <c r="D8">
        <v>1</v>
      </c>
      <c r="E8">
        <v>4</v>
      </c>
      <c r="F8">
        <v>32</v>
      </c>
      <c r="G8">
        <v>31</v>
      </c>
      <c r="H8">
        <v>3</v>
      </c>
      <c r="I8">
        <v>10</v>
      </c>
      <c r="K8">
        <f t="shared" si="1"/>
        <v>45</v>
      </c>
      <c r="N8">
        <f t="shared" si="2"/>
        <v>45</v>
      </c>
      <c r="R8">
        <f t="shared" si="3"/>
        <v>90</v>
      </c>
    </row>
    <row r="9" spans="1:19">
      <c r="A9">
        <v>300.2</v>
      </c>
      <c r="B9">
        <v>39</v>
      </c>
      <c r="C9">
        <v>5</v>
      </c>
      <c r="D9">
        <v>1</v>
      </c>
      <c r="E9">
        <v>5</v>
      </c>
      <c r="F9">
        <v>32</v>
      </c>
      <c r="G9">
        <v>16</v>
      </c>
      <c r="H9">
        <v>3</v>
      </c>
      <c r="I9">
        <v>11</v>
      </c>
      <c r="K9">
        <f t="shared" si="1"/>
        <v>45</v>
      </c>
      <c r="N9">
        <f t="shared" si="2"/>
        <v>46</v>
      </c>
      <c r="R9">
        <f t="shared" si="3"/>
        <v>91</v>
      </c>
    </row>
    <row r="10" spans="1:19">
      <c r="A10">
        <v>360.24</v>
      </c>
      <c r="B10">
        <v>35</v>
      </c>
      <c r="C10">
        <v>3</v>
      </c>
      <c r="D10">
        <v>2</v>
      </c>
      <c r="E10">
        <v>7</v>
      </c>
      <c r="F10">
        <v>34</v>
      </c>
      <c r="G10">
        <v>15</v>
      </c>
      <c r="H10">
        <v>1</v>
      </c>
      <c r="I10">
        <v>12</v>
      </c>
      <c r="K10">
        <f t="shared" si="1"/>
        <v>44</v>
      </c>
      <c r="N10">
        <f t="shared" si="2"/>
        <v>47</v>
      </c>
      <c r="R10">
        <f t="shared" si="3"/>
        <v>91</v>
      </c>
    </row>
    <row r="11" spans="1:19">
      <c r="A11">
        <v>420.28</v>
      </c>
      <c r="B11">
        <v>38</v>
      </c>
      <c r="C11">
        <v>10</v>
      </c>
      <c r="D11">
        <v>0</v>
      </c>
      <c r="E11">
        <v>2</v>
      </c>
      <c r="F11">
        <v>39</v>
      </c>
      <c r="G11">
        <v>23</v>
      </c>
      <c r="H11">
        <v>2</v>
      </c>
      <c r="I11">
        <v>14</v>
      </c>
      <c r="K11">
        <f t="shared" si="1"/>
        <v>40</v>
      </c>
      <c r="N11">
        <f t="shared" si="2"/>
        <v>55</v>
      </c>
      <c r="R11">
        <f t="shared" si="3"/>
        <v>95</v>
      </c>
    </row>
    <row r="12" spans="1:19">
      <c r="A12">
        <v>480.33</v>
      </c>
      <c r="B12">
        <v>30</v>
      </c>
      <c r="C12">
        <v>9</v>
      </c>
      <c r="D12">
        <v>1</v>
      </c>
      <c r="E12">
        <v>6</v>
      </c>
      <c r="F12">
        <v>30</v>
      </c>
      <c r="G12">
        <v>17</v>
      </c>
      <c r="H12">
        <v>1</v>
      </c>
      <c r="I12">
        <v>7</v>
      </c>
      <c r="K12">
        <f t="shared" si="1"/>
        <v>37</v>
      </c>
      <c r="N12">
        <f t="shared" si="2"/>
        <v>38</v>
      </c>
      <c r="R12">
        <f t="shared" si="3"/>
        <v>75</v>
      </c>
    </row>
    <row r="13" spans="1:19">
      <c r="A13">
        <v>540.37</v>
      </c>
      <c r="B13">
        <v>32</v>
      </c>
      <c r="C13">
        <v>9</v>
      </c>
      <c r="D13">
        <v>0</v>
      </c>
      <c r="E13">
        <v>4</v>
      </c>
      <c r="F13">
        <v>38</v>
      </c>
      <c r="G13">
        <v>24</v>
      </c>
      <c r="H13">
        <v>1</v>
      </c>
      <c r="I13">
        <v>14</v>
      </c>
      <c r="K13">
        <f t="shared" si="1"/>
        <v>36</v>
      </c>
      <c r="N13">
        <f t="shared" si="2"/>
        <v>53</v>
      </c>
      <c r="R13">
        <f t="shared" si="3"/>
        <v>89</v>
      </c>
    </row>
    <row r="14" spans="1:19">
      <c r="A14">
        <v>600.41</v>
      </c>
      <c r="B14">
        <v>40</v>
      </c>
      <c r="C14">
        <v>6</v>
      </c>
      <c r="D14">
        <v>0</v>
      </c>
      <c r="E14">
        <v>3</v>
      </c>
      <c r="F14">
        <v>32</v>
      </c>
      <c r="G14">
        <v>9</v>
      </c>
      <c r="H14">
        <v>2</v>
      </c>
      <c r="I14">
        <v>19</v>
      </c>
      <c r="K14">
        <f t="shared" si="1"/>
        <v>43</v>
      </c>
      <c r="N14">
        <f t="shared" si="2"/>
        <v>53</v>
      </c>
      <c r="R14">
        <f t="shared" si="3"/>
        <v>96</v>
      </c>
    </row>
    <row r="15" spans="1:19">
      <c r="A15">
        <v>660.45</v>
      </c>
      <c r="B15">
        <v>35</v>
      </c>
      <c r="C15">
        <v>4</v>
      </c>
      <c r="D15">
        <v>2</v>
      </c>
      <c r="E15">
        <v>6</v>
      </c>
      <c r="F15">
        <v>35</v>
      </c>
      <c r="G15">
        <v>12</v>
      </c>
      <c r="H15">
        <v>5</v>
      </c>
      <c r="I15">
        <v>7</v>
      </c>
      <c r="K15">
        <f t="shared" si="1"/>
        <v>43</v>
      </c>
      <c r="N15">
        <f t="shared" si="2"/>
        <v>47</v>
      </c>
      <c r="R15">
        <f t="shared" si="3"/>
        <v>90</v>
      </c>
    </row>
    <row r="16" spans="1:19" ht="15">
      <c r="A16" s="3">
        <v>720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15">
      <c r="A17" s="3">
        <v>780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15">
      <c r="A18" s="3">
        <v>840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>
      <c r="A19">
        <v>900.04</v>
      </c>
      <c r="B19">
        <v>36</v>
      </c>
      <c r="C19">
        <v>0</v>
      </c>
      <c r="D19">
        <v>1</v>
      </c>
      <c r="E19">
        <v>4</v>
      </c>
      <c r="F19">
        <v>30</v>
      </c>
      <c r="G19">
        <v>22</v>
      </c>
      <c r="H19">
        <v>2</v>
      </c>
      <c r="I19">
        <v>13</v>
      </c>
      <c r="K19">
        <f t="shared" si="1"/>
        <v>41</v>
      </c>
      <c r="N19">
        <f t="shared" si="2"/>
        <v>45</v>
      </c>
      <c r="R19">
        <f t="shared" si="3"/>
        <v>86</v>
      </c>
    </row>
    <row r="20" spans="1:18">
      <c r="A20">
        <v>960.08</v>
      </c>
      <c r="B20">
        <v>29</v>
      </c>
      <c r="C20">
        <v>6</v>
      </c>
      <c r="D20">
        <v>0</v>
      </c>
      <c r="E20">
        <v>5</v>
      </c>
      <c r="F20">
        <v>33</v>
      </c>
      <c r="G20">
        <v>16</v>
      </c>
      <c r="H20">
        <v>1</v>
      </c>
      <c r="I20">
        <v>20</v>
      </c>
      <c r="K20">
        <f t="shared" si="1"/>
        <v>34</v>
      </c>
      <c r="N20">
        <f t="shared" si="2"/>
        <v>54</v>
      </c>
      <c r="R20">
        <f t="shared" si="3"/>
        <v>88</v>
      </c>
    </row>
    <row r="21" spans="1:18">
      <c r="A21">
        <v>1020.12</v>
      </c>
      <c r="B21">
        <v>42</v>
      </c>
      <c r="C21">
        <v>8</v>
      </c>
      <c r="D21">
        <v>3</v>
      </c>
      <c r="E21">
        <v>2</v>
      </c>
      <c r="F21">
        <v>29</v>
      </c>
      <c r="G21">
        <v>17</v>
      </c>
      <c r="H21">
        <v>0</v>
      </c>
      <c r="I21">
        <v>14</v>
      </c>
      <c r="K21">
        <f t="shared" si="1"/>
        <v>47</v>
      </c>
      <c r="N21">
        <f t="shared" si="2"/>
        <v>43</v>
      </c>
      <c r="R21">
        <f t="shared" si="3"/>
        <v>90</v>
      </c>
    </row>
    <row r="22" spans="1:18">
      <c r="A22">
        <v>1080.1600000000001</v>
      </c>
      <c r="B22">
        <v>36</v>
      </c>
      <c r="C22">
        <v>7</v>
      </c>
      <c r="D22">
        <v>1</v>
      </c>
      <c r="E22">
        <v>5</v>
      </c>
      <c r="F22">
        <v>29</v>
      </c>
      <c r="G22">
        <v>11</v>
      </c>
      <c r="H22">
        <v>1</v>
      </c>
      <c r="I22">
        <v>12</v>
      </c>
      <c r="K22">
        <f t="shared" si="1"/>
        <v>42</v>
      </c>
      <c r="N22">
        <f t="shared" si="2"/>
        <v>42</v>
      </c>
      <c r="R22">
        <f t="shared" si="3"/>
        <v>84</v>
      </c>
    </row>
    <row r="23" spans="1:18">
      <c r="A23">
        <v>1140.2</v>
      </c>
      <c r="B23">
        <v>37</v>
      </c>
      <c r="C23">
        <v>2</v>
      </c>
      <c r="D23">
        <v>2</v>
      </c>
      <c r="E23">
        <v>3</v>
      </c>
      <c r="F23">
        <v>29</v>
      </c>
      <c r="G23">
        <v>17</v>
      </c>
      <c r="H23">
        <v>0</v>
      </c>
      <c r="I23">
        <v>21</v>
      </c>
      <c r="K23">
        <f t="shared" si="1"/>
        <v>42</v>
      </c>
      <c r="N23">
        <f t="shared" si="2"/>
        <v>50</v>
      </c>
      <c r="R23">
        <f t="shared" si="3"/>
        <v>92</v>
      </c>
    </row>
    <row r="24" spans="1:18">
      <c r="A24">
        <v>1200.24</v>
      </c>
      <c r="B24">
        <v>31</v>
      </c>
      <c r="C24">
        <v>6</v>
      </c>
      <c r="D24">
        <v>1</v>
      </c>
      <c r="E24">
        <v>5</v>
      </c>
      <c r="F24">
        <v>40</v>
      </c>
      <c r="G24">
        <v>21</v>
      </c>
      <c r="H24">
        <v>1</v>
      </c>
      <c r="I24">
        <v>26</v>
      </c>
      <c r="K24">
        <f t="shared" si="1"/>
        <v>37</v>
      </c>
      <c r="N24">
        <f t="shared" si="2"/>
        <v>67</v>
      </c>
      <c r="R24">
        <f t="shared" si="3"/>
        <v>104</v>
      </c>
    </row>
    <row r="25" spans="1:18">
      <c r="A25">
        <v>1260.28</v>
      </c>
      <c r="B25">
        <v>29</v>
      </c>
      <c r="C25">
        <v>3</v>
      </c>
      <c r="D25">
        <v>2</v>
      </c>
      <c r="E25">
        <v>4</v>
      </c>
      <c r="F25">
        <v>26</v>
      </c>
      <c r="G25">
        <v>11</v>
      </c>
      <c r="H25">
        <v>1</v>
      </c>
      <c r="I25">
        <v>17</v>
      </c>
      <c r="K25">
        <f t="shared" si="1"/>
        <v>35</v>
      </c>
      <c r="N25">
        <f t="shared" si="2"/>
        <v>44</v>
      </c>
      <c r="R25">
        <f t="shared" si="3"/>
        <v>79</v>
      </c>
    </row>
    <row r="26" spans="1:18">
      <c r="A26">
        <v>1320.33</v>
      </c>
      <c r="B26">
        <v>36</v>
      </c>
      <c r="C26">
        <v>10</v>
      </c>
      <c r="D26">
        <v>1</v>
      </c>
      <c r="E26">
        <v>3</v>
      </c>
      <c r="F26">
        <v>37</v>
      </c>
      <c r="G26">
        <v>7</v>
      </c>
      <c r="H26">
        <v>1</v>
      </c>
      <c r="I26">
        <v>10</v>
      </c>
      <c r="K26">
        <f t="shared" si="1"/>
        <v>40</v>
      </c>
      <c r="N26">
        <f t="shared" si="2"/>
        <v>48</v>
      </c>
      <c r="R26">
        <f t="shared" si="3"/>
        <v>88</v>
      </c>
    </row>
    <row r="27" spans="1:18">
      <c r="A27">
        <v>1380.37</v>
      </c>
      <c r="B27">
        <v>34</v>
      </c>
      <c r="C27">
        <v>3</v>
      </c>
      <c r="D27">
        <v>1</v>
      </c>
      <c r="E27">
        <v>6</v>
      </c>
      <c r="F27">
        <v>32</v>
      </c>
      <c r="G27">
        <v>11</v>
      </c>
      <c r="H27">
        <v>5</v>
      </c>
      <c r="I27">
        <v>17</v>
      </c>
      <c r="K27">
        <f t="shared" si="1"/>
        <v>41</v>
      </c>
      <c r="N27">
        <f t="shared" si="2"/>
        <v>54</v>
      </c>
      <c r="R27">
        <f t="shared" si="3"/>
        <v>95</v>
      </c>
    </row>
    <row r="28" spans="1:18">
      <c r="A28">
        <v>1440.4099999999999</v>
      </c>
      <c r="B28">
        <v>32</v>
      </c>
      <c r="C28">
        <v>7</v>
      </c>
      <c r="D28">
        <v>2</v>
      </c>
      <c r="E28">
        <v>3</v>
      </c>
      <c r="F28">
        <v>33</v>
      </c>
      <c r="G28">
        <v>6</v>
      </c>
      <c r="H28">
        <v>2</v>
      </c>
      <c r="I28">
        <v>8</v>
      </c>
      <c r="K28">
        <f t="shared" si="1"/>
        <v>37</v>
      </c>
      <c r="N28">
        <f t="shared" si="2"/>
        <v>43</v>
      </c>
      <c r="R28">
        <f t="shared" si="3"/>
        <v>80</v>
      </c>
    </row>
    <row r="29" spans="1:18">
      <c r="A29">
        <v>1500.45</v>
      </c>
      <c r="B29">
        <v>31</v>
      </c>
      <c r="C29">
        <v>6</v>
      </c>
      <c r="D29">
        <v>6</v>
      </c>
      <c r="E29">
        <v>3</v>
      </c>
      <c r="F29">
        <v>30</v>
      </c>
      <c r="G29">
        <v>10</v>
      </c>
      <c r="H29">
        <v>5</v>
      </c>
      <c r="I29">
        <v>9</v>
      </c>
      <c r="K29">
        <f t="shared" si="1"/>
        <v>40</v>
      </c>
      <c r="N29">
        <f t="shared" si="2"/>
        <v>44</v>
      </c>
      <c r="R29">
        <f t="shared" si="3"/>
        <v>84</v>
      </c>
    </row>
    <row r="30" spans="1:18">
      <c r="A30">
        <v>1560.49</v>
      </c>
      <c r="B30">
        <v>34</v>
      </c>
      <c r="C30">
        <v>2</v>
      </c>
      <c r="D30">
        <v>0</v>
      </c>
      <c r="E30">
        <v>7</v>
      </c>
      <c r="F30">
        <v>30</v>
      </c>
      <c r="G30">
        <v>11</v>
      </c>
      <c r="H30">
        <v>2</v>
      </c>
      <c r="I30">
        <v>18</v>
      </c>
      <c r="K30">
        <f t="shared" si="1"/>
        <v>41</v>
      </c>
      <c r="N30">
        <f t="shared" si="2"/>
        <v>50</v>
      </c>
      <c r="R30">
        <f t="shared" si="3"/>
        <v>91</v>
      </c>
    </row>
    <row r="31" spans="1:18">
      <c r="A31">
        <v>1620.53</v>
      </c>
      <c r="B31">
        <v>42</v>
      </c>
      <c r="C31">
        <v>3</v>
      </c>
      <c r="D31">
        <v>0</v>
      </c>
      <c r="E31">
        <v>1</v>
      </c>
      <c r="F31">
        <v>28</v>
      </c>
      <c r="G31">
        <v>13</v>
      </c>
      <c r="H31">
        <v>0</v>
      </c>
      <c r="I31">
        <v>9</v>
      </c>
      <c r="K31">
        <f t="shared" si="1"/>
        <v>43</v>
      </c>
      <c r="N31">
        <f t="shared" si="2"/>
        <v>37</v>
      </c>
      <c r="R31">
        <f t="shared" si="3"/>
        <v>80</v>
      </c>
    </row>
    <row r="32" spans="1:18">
      <c r="A32">
        <v>1680.5700000000002</v>
      </c>
      <c r="B32">
        <v>30</v>
      </c>
      <c r="C32">
        <v>2</v>
      </c>
      <c r="D32">
        <v>1</v>
      </c>
      <c r="E32">
        <v>9</v>
      </c>
      <c r="F32">
        <v>31</v>
      </c>
      <c r="G32">
        <v>9</v>
      </c>
      <c r="H32">
        <v>1</v>
      </c>
      <c r="I32">
        <v>17</v>
      </c>
      <c r="K32">
        <f t="shared" si="1"/>
        <v>40</v>
      </c>
      <c r="N32">
        <f t="shared" si="2"/>
        <v>49</v>
      </c>
      <c r="R32">
        <f t="shared" si="3"/>
        <v>89</v>
      </c>
    </row>
    <row r="33" spans="1:18">
      <c r="A33">
        <v>1740.6100000000001</v>
      </c>
      <c r="B33">
        <v>32</v>
      </c>
      <c r="C33">
        <v>3</v>
      </c>
      <c r="D33">
        <v>3</v>
      </c>
      <c r="E33">
        <v>6</v>
      </c>
      <c r="F33">
        <v>30</v>
      </c>
      <c r="G33">
        <v>12</v>
      </c>
      <c r="H33">
        <v>1</v>
      </c>
      <c r="I33">
        <v>13</v>
      </c>
      <c r="K33">
        <f t="shared" si="1"/>
        <v>41</v>
      </c>
      <c r="N33">
        <f t="shared" si="2"/>
        <v>44</v>
      </c>
      <c r="R33">
        <f t="shared" si="3"/>
        <v>85</v>
      </c>
    </row>
    <row r="34" spans="1:18">
      <c r="A34">
        <v>1800.65</v>
      </c>
      <c r="B34">
        <v>30</v>
      </c>
      <c r="C34">
        <v>4</v>
      </c>
      <c r="D34">
        <v>3</v>
      </c>
      <c r="E34">
        <v>6</v>
      </c>
      <c r="F34">
        <v>34</v>
      </c>
      <c r="G34">
        <v>12</v>
      </c>
      <c r="H34">
        <v>4</v>
      </c>
      <c r="I34">
        <v>12</v>
      </c>
      <c r="K34">
        <f t="shared" si="1"/>
        <v>39</v>
      </c>
      <c r="N34">
        <f t="shared" si="2"/>
        <v>50</v>
      </c>
      <c r="R34">
        <f t="shared" si="3"/>
        <v>89</v>
      </c>
    </row>
    <row r="35" spans="1:18">
      <c r="A35">
        <v>1860.69</v>
      </c>
      <c r="B35">
        <v>28</v>
      </c>
      <c r="C35">
        <v>6</v>
      </c>
      <c r="D35">
        <v>2</v>
      </c>
      <c r="E35">
        <v>2</v>
      </c>
      <c r="F35">
        <v>36</v>
      </c>
      <c r="G35">
        <v>14</v>
      </c>
      <c r="H35">
        <v>4</v>
      </c>
      <c r="I35">
        <v>14</v>
      </c>
      <c r="K35">
        <f t="shared" si="1"/>
        <v>32</v>
      </c>
      <c r="N35">
        <f t="shared" si="2"/>
        <v>54</v>
      </c>
      <c r="R35">
        <f t="shared" si="3"/>
        <v>86</v>
      </c>
    </row>
    <row r="36" spans="1:18">
      <c r="A36">
        <v>1920.73</v>
      </c>
      <c r="B36">
        <v>39</v>
      </c>
      <c r="C36">
        <v>7</v>
      </c>
      <c r="D36">
        <v>3</v>
      </c>
      <c r="E36">
        <v>2</v>
      </c>
      <c r="F36">
        <v>28</v>
      </c>
      <c r="G36">
        <v>8</v>
      </c>
      <c r="H36">
        <v>5</v>
      </c>
      <c r="I36">
        <v>14</v>
      </c>
      <c r="K36">
        <f t="shared" si="1"/>
        <v>44</v>
      </c>
      <c r="N36">
        <f t="shared" si="2"/>
        <v>47</v>
      </c>
      <c r="R36">
        <f t="shared" si="3"/>
        <v>91</v>
      </c>
    </row>
    <row r="37" spans="1:18">
      <c r="A37">
        <v>1980.77</v>
      </c>
      <c r="B37">
        <v>31</v>
      </c>
      <c r="C37">
        <v>11</v>
      </c>
      <c r="D37">
        <v>0</v>
      </c>
      <c r="E37">
        <v>3</v>
      </c>
      <c r="F37">
        <v>25</v>
      </c>
      <c r="G37">
        <v>18</v>
      </c>
      <c r="H37">
        <v>2</v>
      </c>
      <c r="I37">
        <v>8</v>
      </c>
      <c r="K37">
        <f t="shared" si="1"/>
        <v>34</v>
      </c>
      <c r="N37">
        <f t="shared" si="2"/>
        <v>35</v>
      </c>
      <c r="R37">
        <f t="shared" si="3"/>
        <v>69</v>
      </c>
    </row>
    <row r="38" spans="1:18">
      <c r="A38">
        <v>2040.81</v>
      </c>
      <c r="B38">
        <v>25</v>
      </c>
      <c r="C38">
        <v>3</v>
      </c>
      <c r="D38">
        <v>4</v>
      </c>
      <c r="E38">
        <v>6</v>
      </c>
      <c r="F38">
        <v>34</v>
      </c>
      <c r="G38">
        <v>16</v>
      </c>
      <c r="H38">
        <v>4</v>
      </c>
      <c r="I38">
        <v>10</v>
      </c>
      <c r="K38">
        <f t="shared" si="1"/>
        <v>35</v>
      </c>
      <c r="N38">
        <f t="shared" si="2"/>
        <v>48</v>
      </c>
      <c r="R38">
        <f t="shared" si="3"/>
        <v>83</v>
      </c>
    </row>
    <row r="39" spans="1:18">
      <c r="A39">
        <v>2100.85</v>
      </c>
      <c r="B39">
        <v>29</v>
      </c>
      <c r="C39">
        <v>4</v>
      </c>
      <c r="D39">
        <v>2</v>
      </c>
      <c r="E39">
        <v>6</v>
      </c>
      <c r="F39">
        <v>33</v>
      </c>
      <c r="G39">
        <v>9</v>
      </c>
      <c r="H39">
        <v>3</v>
      </c>
      <c r="I39">
        <v>23</v>
      </c>
      <c r="K39">
        <f t="shared" si="1"/>
        <v>37</v>
      </c>
      <c r="N39">
        <f t="shared" si="2"/>
        <v>59</v>
      </c>
      <c r="R39">
        <f t="shared" si="3"/>
        <v>96</v>
      </c>
    </row>
    <row r="40" spans="1:18">
      <c r="A40">
        <v>2160.9</v>
      </c>
      <c r="B40">
        <v>26</v>
      </c>
      <c r="C40">
        <v>5</v>
      </c>
      <c r="D40">
        <v>0</v>
      </c>
      <c r="E40">
        <v>4</v>
      </c>
      <c r="F40">
        <v>26</v>
      </c>
      <c r="G40">
        <v>17</v>
      </c>
      <c r="H40">
        <v>1</v>
      </c>
      <c r="I40">
        <v>20</v>
      </c>
      <c r="K40">
        <f t="shared" si="1"/>
        <v>30</v>
      </c>
      <c r="N40">
        <f t="shared" si="2"/>
        <v>47</v>
      </c>
      <c r="R40">
        <f t="shared" si="3"/>
        <v>77</v>
      </c>
    </row>
    <row r="41" spans="1:18">
      <c r="A41">
        <v>2220.94</v>
      </c>
      <c r="B41">
        <v>29</v>
      </c>
      <c r="C41">
        <v>3</v>
      </c>
      <c r="D41">
        <v>0</v>
      </c>
      <c r="E41">
        <v>6</v>
      </c>
      <c r="F41">
        <v>21</v>
      </c>
      <c r="G41">
        <v>22</v>
      </c>
      <c r="H41">
        <v>2</v>
      </c>
      <c r="I41">
        <v>21</v>
      </c>
      <c r="K41">
        <f t="shared" si="1"/>
        <v>35</v>
      </c>
      <c r="N41">
        <f t="shared" si="2"/>
        <v>44</v>
      </c>
      <c r="R41">
        <f t="shared" si="3"/>
        <v>79</v>
      </c>
    </row>
    <row r="42" spans="1:18">
      <c r="A42">
        <v>2280.98</v>
      </c>
      <c r="B42">
        <v>33</v>
      </c>
      <c r="C42">
        <v>4</v>
      </c>
      <c r="D42">
        <v>1</v>
      </c>
      <c r="E42">
        <v>5</v>
      </c>
      <c r="F42">
        <v>28</v>
      </c>
      <c r="G42">
        <v>7</v>
      </c>
      <c r="H42">
        <v>0</v>
      </c>
      <c r="I42">
        <v>17</v>
      </c>
      <c r="K42">
        <f t="shared" si="1"/>
        <v>39</v>
      </c>
      <c r="N42">
        <f t="shared" si="2"/>
        <v>45</v>
      </c>
      <c r="R42">
        <f t="shared" si="3"/>
        <v>84</v>
      </c>
    </row>
    <row r="43" spans="1:18">
      <c r="A43">
        <v>2341.02</v>
      </c>
      <c r="B43">
        <v>34</v>
      </c>
      <c r="C43">
        <v>13</v>
      </c>
      <c r="D43">
        <v>1</v>
      </c>
      <c r="E43">
        <v>5</v>
      </c>
      <c r="F43">
        <v>29</v>
      </c>
      <c r="G43">
        <v>20</v>
      </c>
      <c r="H43">
        <v>2</v>
      </c>
      <c r="I43">
        <v>16</v>
      </c>
      <c r="K43">
        <f t="shared" si="1"/>
        <v>40</v>
      </c>
      <c r="N43">
        <f t="shared" si="2"/>
        <v>47</v>
      </c>
      <c r="R43">
        <f t="shared" si="3"/>
        <v>87</v>
      </c>
    </row>
    <row r="44" spans="1:18">
      <c r="A44">
        <v>2401.06</v>
      </c>
      <c r="B44">
        <v>35</v>
      </c>
      <c r="C44">
        <v>6</v>
      </c>
      <c r="D44">
        <v>1</v>
      </c>
      <c r="E44">
        <v>4</v>
      </c>
      <c r="F44">
        <v>31</v>
      </c>
      <c r="G44">
        <v>7</v>
      </c>
      <c r="H44">
        <v>2</v>
      </c>
      <c r="I44">
        <v>14</v>
      </c>
      <c r="K44">
        <f t="shared" si="1"/>
        <v>40</v>
      </c>
      <c r="N44">
        <f t="shared" si="2"/>
        <v>47</v>
      </c>
      <c r="R44">
        <f t="shared" si="3"/>
        <v>87</v>
      </c>
    </row>
    <row r="45" spans="1:18">
      <c r="A45">
        <v>2461.1</v>
      </c>
      <c r="B45">
        <v>32</v>
      </c>
      <c r="C45">
        <v>6</v>
      </c>
      <c r="D45">
        <v>2</v>
      </c>
      <c r="E45">
        <v>5</v>
      </c>
      <c r="F45">
        <v>19</v>
      </c>
      <c r="G45">
        <v>16</v>
      </c>
      <c r="H45">
        <v>2</v>
      </c>
      <c r="I45">
        <v>15</v>
      </c>
      <c r="K45">
        <f t="shared" si="1"/>
        <v>39</v>
      </c>
      <c r="N45">
        <f t="shared" si="2"/>
        <v>36</v>
      </c>
      <c r="R45">
        <f t="shared" si="3"/>
        <v>75</v>
      </c>
    </row>
    <row r="46" spans="1:18">
      <c r="A46">
        <v>2521.1400000000003</v>
      </c>
      <c r="B46">
        <v>33</v>
      </c>
      <c r="C46">
        <v>6</v>
      </c>
      <c r="D46">
        <v>1</v>
      </c>
      <c r="E46">
        <v>10</v>
      </c>
      <c r="F46">
        <v>24</v>
      </c>
      <c r="G46">
        <v>7</v>
      </c>
      <c r="H46">
        <v>3</v>
      </c>
      <c r="I46">
        <v>20</v>
      </c>
      <c r="K46">
        <f t="shared" si="1"/>
        <v>44</v>
      </c>
      <c r="N46">
        <f t="shared" si="2"/>
        <v>47</v>
      </c>
      <c r="R46">
        <f t="shared" si="3"/>
        <v>91</v>
      </c>
    </row>
    <row r="47" spans="1:18">
      <c r="A47">
        <v>2581.1800000000003</v>
      </c>
      <c r="B47">
        <v>28</v>
      </c>
      <c r="C47">
        <v>7</v>
      </c>
      <c r="D47">
        <v>1</v>
      </c>
      <c r="E47">
        <v>13</v>
      </c>
      <c r="F47">
        <v>22</v>
      </c>
      <c r="G47">
        <v>8</v>
      </c>
      <c r="H47">
        <v>1</v>
      </c>
      <c r="I47">
        <v>25</v>
      </c>
      <c r="K47">
        <f t="shared" si="1"/>
        <v>42</v>
      </c>
      <c r="N47">
        <f t="shared" si="2"/>
        <v>48</v>
      </c>
      <c r="R47">
        <f t="shared" si="3"/>
        <v>90</v>
      </c>
    </row>
    <row r="48" spans="1:18">
      <c r="A48">
        <v>2641.2200000000003</v>
      </c>
      <c r="B48">
        <v>36</v>
      </c>
      <c r="C48">
        <v>3</v>
      </c>
      <c r="D48">
        <v>2</v>
      </c>
      <c r="E48">
        <v>7</v>
      </c>
      <c r="F48">
        <v>29</v>
      </c>
      <c r="G48">
        <v>10</v>
      </c>
      <c r="H48">
        <v>4</v>
      </c>
      <c r="I48">
        <v>17</v>
      </c>
      <c r="K48">
        <f t="shared" si="1"/>
        <v>45</v>
      </c>
      <c r="N48">
        <f t="shared" si="2"/>
        <v>50</v>
      </c>
      <c r="R48">
        <f t="shared" si="3"/>
        <v>95</v>
      </c>
    </row>
    <row r="49" spans="1:18">
      <c r="A49">
        <v>2701.26</v>
      </c>
      <c r="B49">
        <v>23</v>
      </c>
      <c r="C49">
        <v>6</v>
      </c>
      <c r="D49">
        <v>2</v>
      </c>
      <c r="E49">
        <v>11</v>
      </c>
      <c r="F49">
        <v>27</v>
      </c>
      <c r="G49">
        <v>20</v>
      </c>
      <c r="H49">
        <v>3</v>
      </c>
      <c r="I49">
        <v>21</v>
      </c>
      <c r="K49">
        <f t="shared" si="1"/>
        <v>36</v>
      </c>
      <c r="N49">
        <f t="shared" si="2"/>
        <v>51</v>
      </c>
      <c r="R49">
        <f t="shared" si="3"/>
        <v>87</v>
      </c>
    </row>
    <row r="50" spans="1:18">
      <c r="A50">
        <v>2761.3</v>
      </c>
      <c r="B50">
        <v>32</v>
      </c>
      <c r="C50">
        <v>2</v>
      </c>
      <c r="D50">
        <v>2</v>
      </c>
      <c r="E50">
        <v>8</v>
      </c>
      <c r="F50">
        <v>26</v>
      </c>
      <c r="G50">
        <v>12</v>
      </c>
      <c r="H50">
        <v>3</v>
      </c>
      <c r="I50">
        <v>14</v>
      </c>
      <c r="K50">
        <f t="shared" si="1"/>
        <v>42</v>
      </c>
      <c r="N50">
        <f t="shared" si="2"/>
        <v>43</v>
      </c>
      <c r="R50">
        <f t="shared" si="3"/>
        <v>85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7"/>
  <sheetViews>
    <sheetView topLeftCell="M1" workbookViewId="0">
      <selection activeCell="X2" sqref="X2:AE2"/>
    </sheetView>
  </sheetViews>
  <sheetFormatPr defaultRowHeight="16.149999999999999"/>
  <sheetData>
    <row r="1" spans="1:31">
      <c r="A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</row>
    <row r="2" spans="1:31">
      <c r="A2">
        <v>60.04</v>
      </c>
      <c r="C2">
        <v>24</v>
      </c>
      <c r="D2">
        <v>3</v>
      </c>
      <c r="E2">
        <v>2</v>
      </c>
      <c r="F2">
        <v>6</v>
      </c>
      <c r="G2">
        <v>39</v>
      </c>
      <c r="H2">
        <v>20</v>
      </c>
      <c r="I2">
        <v>3</v>
      </c>
      <c r="J2">
        <v>14</v>
      </c>
      <c r="K2">
        <v>9</v>
      </c>
      <c r="L2">
        <v>1</v>
      </c>
      <c r="M2">
        <v>0</v>
      </c>
      <c r="N2">
        <v>1</v>
      </c>
      <c r="O2">
        <f>C2+K2</f>
        <v>33</v>
      </c>
      <c r="P2">
        <f t="shared" ref="P2:R2" si="0">D2+L2</f>
        <v>4</v>
      </c>
      <c r="Q2">
        <f t="shared" si="0"/>
        <v>2</v>
      </c>
      <c r="R2">
        <f t="shared" si="0"/>
        <v>7</v>
      </c>
      <c r="S2">
        <f>G2-K2</f>
        <v>30</v>
      </c>
      <c r="T2">
        <f t="shared" ref="T2:V2" si="1">H2-L2</f>
        <v>19</v>
      </c>
      <c r="U2">
        <f t="shared" si="1"/>
        <v>3</v>
      </c>
      <c r="V2">
        <f t="shared" si="1"/>
        <v>13</v>
      </c>
      <c r="X2">
        <f>O2</f>
        <v>33</v>
      </c>
      <c r="Y2">
        <f t="shared" ref="Y2:AE2" si="2">P2</f>
        <v>4</v>
      </c>
      <c r="Z2">
        <f t="shared" si="2"/>
        <v>2</v>
      </c>
      <c r="AA2">
        <f t="shared" si="2"/>
        <v>7</v>
      </c>
      <c r="AB2">
        <f t="shared" si="2"/>
        <v>30</v>
      </c>
      <c r="AC2">
        <f t="shared" si="2"/>
        <v>19</v>
      </c>
      <c r="AD2">
        <f t="shared" si="2"/>
        <v>3</v>
      </c>
      <c r="AE2">
        <f t="shared" si="2"/>
        <v>13</v>
      </c>
    </row>
    <row r="3" spans="1:31">
      <c r="A3">
        <v>120.08</v>
      </c>
      <c r="C3">
        <v>51</v>
      </c>
      <c r="D3">
        <v>6</v>
      </c>
      <c r="E3">
        <v>3</v>
      </c>
      <c r="F3">
        <v>12</v>
      </c>
      <c r="G3">
        <v>78</v>
      </c>
      <c r="H3">
        <v>40</v>
      </c>
      <c r="I3">
        <v>5</v>
      </c>
      <c r="J3">
        <v>28</v>
      </c>
      <c r="K3">
        <v>14</v>
      </c>
      <c r="L3">
        <v>2</v>
      </c>
      <c r="M3">
        <v>0</v>
      </c>
      <c r="N3">
        <v>1</v>
      </c>
      <c r="O3">
        <f t="shared" ref="O3:O47" si="3">C3+K3</f>
        <v>65</v>
      </c>
      <c r="P3">
        <f t="shared" ref="P3:P47" si="4">D3+L3</f>
        <v>8</v>
      </c>
      <c r="Q3">
        <f t="shared" ref="Q3:Q47" si="5">E3+M3</f>
        <v>3</v>
      </c>
      <c r="R3">
        <f t="shared" ref="R3:R47" si="6">F3+N3</f>
        <v>13</v>
      </c>
      <c r="S3">
        <f t="shared" ref="S3:S47" si="7">G3-K3</f>
        <v>64</v>
      </c>
      <c r="T3">
        <f t="shared" ref="T3:T47" si="8">H3-L3</f>
        <v>38</v>
      </c>
      <c r="U3">
        <f t="shared" ref="U3:U47" si="9">I3-M3</f>
        <v>5</v>
      </c>
      <c r="V3">
        <f t="shared" ref="V3:V47" si="10">J3-N3</f>
        <v>27</v>
      </c>
      <c r="X3">
        <f>O3-O2</f>
        <v>32</v>
      </c>
      <c r="Y3">
        <f t="shared" ref="Y3:AE3" si="11">P3-P2</f>
        <v>4</v>
      </c>
      <c r="Z3">
        <f t="shared" si="11"/>
        <v>1</v>
      </c>
      <c r="AA3">
        <f t="shared" si="11"/>
        <v>6</v>
      </c>
      <c r="AB3">
        <f t="shared" si="11"/>
        <v>34</v>
      </c>
      <c r="AC3">
        <f t="shared" si="11"/>
        <v>19</v>
      </c>
      <c r="AD3">
        <f t="shared" si="11"/>
        <v>2</v>
      </c>
      <c r="AE3">
        <f t="shared" si="11"/>
        <v>14</v>
      </c>
    </row>
    <row r="4" spans="1:31">
      <c r="A4">
        <v>180.12</v>
      </c>
      <c r="C4">
        <v>84</v>
      </c>
      <c r="D4">
        <v>15</v>
      </c>
      <c r="E4">
        <v>4</v>
      </c>
      <c r="F4">
        <v>14</v>
      </c>
      <c r="G4">
        <v>118</v>
      </c>
      <c r="H4">
        <v>57</v>
      </c>
      <c r="I4">
        <v>7</v>
      </c>
      <c r="J4">
        <v>39</v>
      </c>
      <c r="K4">
        <v>25</v>
      </c>
      <c r="L4">
        <v>3</v>
      </c>
      <c r="M4">
        <v>0</v>
      </c>
      <c r="N4">
        <v>1</v>
      </c>
      <c r="O4">
        <f t="shared" si="3"/>
        <v>109</v>
      </c>
      <c r="P4">
        <f t="shared" si="4"/>
        <v>18</v>
      </c>
      <c r="Q4">
        <f t="shared" si="5"/>
        <v>4</v>
      </c>
      <c r="R4">
        <f t="shared" si="6"/>
        <v>15</v>
      </c>
      <c r="S4">
        <f t="shared" si="7"/>
        <v>93</v>
      </c>
      <c r="T4">
        <f t="shared" si="8"/>
        <v>54</v>
      </c>
      <c r="U4">
        <f t="shared" si="9"/>
        <v>7</v>
      </c>
      <c r="V4">
        <f t="shared" si="10"/>
        <v>38</v>
      </c>
      <c r="X4">
        <f t="shared" ref="X4:X47" si="12">O4-O3</f>
        <v>44</v>
      </c>
      <c r="Y4">
        <f t="shared" ref="Y4:Y47" si="13">P4-P3</f>
        <v>10</v>
      </c>
      <c r="Z4">
        <f t="shared" ref="Z4:Z47" si="14">Q4-Q3</f>
        <v>1</v>
      </c>
      <c r="AA4">
        <f t="shared" ref="AA4:AA47" si="15">R4-R3</f>
        <v>2</v>
      </c>
      <c r="AB4">
        <f t="shared" ref="AB4:AB47" si="16">S4-S3</f>
        <v>29</v>
      </c>
      <c r="AC4">
        <f t="shared" ref="AC4:AC47" si="17">T4-T3</f>
        <v>16</v>
      </c>
      <c r="AD4">
        <f t="shared" ref="AD4:AD47" si="18">U4-U3</f>
        <v>2</v>
      </c>
      <c r="AE4">
        <f t="shared" ref="AE4:AE47" si="19">V4-V3</f>
        <v>11</v>
      </c>
    </row>
    <row r="5" spans="1:31">
      <c r="A5">
        <v>240.16</v>
      </c>
      <c r="C5">
        <v>112</v>
      </c>
      <c r="D5">
        <v>22</v>
      </c>
      <c r="E5">
        <v>5</v>
      </c>
      <c r="F5">
        <v>17</v>
      </c>
      <c r="G5">
        <v>162</v>
      </c>
      <c r="H5">
        <v>90</v>
      </c>
      <c r="I5">
        <v>10</v>
      </c>
      <c r="J5">
        <v>50</v>
      </c>
      <c r="K5">
        <v>37</v>
      </c>
      <c r="L5">
        <v>5</v>
      </c>
      <c r="M5">
        <v>0</v>
      </c>
      <c r="N5">
        <v>2</v>
      </c>
      <c r="O5">
        <f t="shared" si="3"/>
        <v>149</v>
      </c>
      <c r="P5">
        <f t="shared" si="4"/>
        <v>27</v>
      </c>
      <c r="Q5">
        <f t="shared" si="5"/>
        <v>5</v>
      </c>
      <c r="R5">
        <f t="shared" si="6"/>
        <v>19</v>
      </c>
      <c r="S5">
        <f t="shared" si="7"/>
        <v>125</v>
      </c>
      <c r="T5">
        <f t="shared" si="8"/>
        <v>85</v>
      </c>
      <c r="U5">
        <f t="shared" si="9"/>
        <v>10</v>
      </c>
      <c r="V5">
        <f t="shared" si="10"/>
        <v>48</v>
      </c>
      <c r="X5">
        <f t="shared" si="12"/>
        <v>40</v>
      </c>
      <c r="Y5">
        <f t="shared" si="13"/>
        <v>9</v>
      </c>
      <c r="Z5">
        <f t="shared" si="14"/>
        <v>1</v>
      </c>
      <c r="AA5">
        <f t="shared" si="15"/>
        <v>4</v>
      </c>
      <c r="AB5">
        <f t="shared" si="16"/>
        <v>32</v>
      </c>
      <c r="AC5">
        <f t="shared" si="17"/>
        <v>31</v>
      </c>
      <c r="AD5">
        <f t="shared" si="18"/>
        <v>3</v>
      </c>
      <c r="AE5">
        <f t="shared" si="19"/>
        <v>10</v>
      </c>
    </row>
    <row r="6" spans="1:31">
      <c r="A6">
        <v>300.2</v>
      </c>
      <c r="C6">
        <v>141</v>
      </c>
      <c r="D6">
        <v>26</v>
      </c>
      <c r="E6">
        <v>6</v>
      </c>
      <c r="F6">
        <v>22</v>
      </c>
      <c r="G6">
        <v>204</v>
      </c>
      <c r="H6">
        <v>107</v>
      </c>
      <c r="I6">
        <v>13</v>
      </c>
      <c r="J6">
        <v>61</v>
      </c>
      <c r="K6">
        <v>47</v>
      </c>
      <c r="L6">
        <v>6</v>
      </c>
      <c r="M6">
        <v>0</v>
      </c>
      <c r="N6">
        <v>2</v>
      </c>
      <c r="O6">
        <f t="shared" si="3"/>
        <v>188</v>
      </c>
      <c r="P6">
        <f t="shared" si="4"/>
        <v>32</v>
      </c>
      <c r="Q6">
        <f t="shared" si="5"/>
        <v>6</v>
      </c>
      <c r="R6">
        <f t="shared" si="6"/>
        <v>24</v>
      </c>
      <c r="S6">
        <f t="shared" si="7"/>
        <v>157</v>
      </c>
      <c r="T6">
        <f t="shared" si="8"/>
        <v>101</v>
      </c>
      <c r="U6">
        <f t="shared" si="9"/>
        <v>13</v>
      </c>
      <c r="V6">
        <f t="shared" si="10"/>
        <v>59</v>
      </c>
      <c r="X6">
        <f t="shared" si="12"/>
        <v>39</v>
      </c>
      <c r="Y6">
        <f t="shared" si="13"/>
        <v>5</v>
      </c>
      <c r="Z6">
        <f t="shared" si="14"/>
        <v>1</v>
      </c>
      <c r="AA6">
        <f t="shared" si="15"/>
        <v>5</v>
      </c>
      <c r="AB6">
        <f t="shared" si="16"/>
        <v>32</v>
      </c>
      <c r="AC6">
        <f t="shared" si="17"/>
        <v>16</v>
      </c>
      <c r="AD6">
        <f t="shared" si="18"/>
        <v>3</v>
      </c>
      <c r="AE6">
        <f t="shared" si="19"/>
        <v>11</v>
      </c>
    </row>
    <row r="7" spans="1:31">
      <c r="A7">
        <v>360.24</v>
      </c>
      <c r="C7">
        <v>171</v>
      </c>
      <c r="D7">
        <v>28</v>
      </c>
      <c r="E7">
        <v>7</v>
      </c>
      <c r="F7">
        <v>29</v>
      </c>
      <c r="G7">
        <v>243</v>
      </c>
      <c r="H7">
        <v>123</v>
      </c>
      <c r="I7">
        <v>15</v>
      </c>
      <c r="J7">
        <v>73</v>
      </c>
      <c r="K7">
        <v>52</v>
      </c>
      <c r="L7">
        <v>7</v>
      </c>
      <c r="M7">
        <v>1</v>
      </c>
      <c r="N7">
        <v>2</v>
      </c>
      <c r="O7">
        <f t="shared" si="3"/>
        <v>223</v>
      </c>
      <c r="P7">
        <f t="shared" si="4"/>
        <v>35</v>
      </c>
      <c r="Q7">
        <f t="shared" si="5"/>
        <v>8</v>
      </c>
      <c r="R7">
        <f t="shared" si="6"/>
        <v>31</v>
      </c>
      <c r="S7">
        <f t="shared" si="7"/>
        <v>191</v>
      </c>
      <c r="T7">
        <f t="shared" si="8"/>
        <v>116</v>
      </c>
      <c r="U7">
        <f t="shared" si="9"/>
        <v>14</v>
      </c>
      <c r="V7">
        <f t="shared" si="10"/>
        <v>71</v>
      </c>
      <c r="X7">
        <f t="shared" si="12"/>
        <v>35</v>
      </c>
      <c r="Y7">
        <f t="shared" si="13"/>
        <v>3</v>
      </c>
      <c r="Z7">
        <f t="shared" si="14"/>
        <v>2</v>
      </c>
      <c r="AA7">
        <f t="shared" si="15"/>
        <v>7</v>
      </c>
      <c r="AB7">
        <f t="shared" si="16"/>
        <v>34</v>
      </c>
      <c r="AC7">
        <f t="shared" si="17"/>
        <v>15</v>
      </c>
      <c r="AD7">
        <f t="shared" si="18"/>
        <v>1</v>
      </c>
      <c r="AE7">
        <f t="shared" si="19"/>
        <v>12</v>
      </c>
    </row>
    <row r="8" spans="1:31">
      <c r="A8">
        <v>420.28</v>
      </c>
      <c r="C8">
        <v>202</v>
      </c>
      <c r="D8">
        <v>32</v>
      </c>
      <c r="E8">
        <v>7</v>
      </c>
      <c r="F8">
        <v>31</v>
      </c>
      <c r="G8">
        <v>289</v>
      </c>
      <c r="H8">
        <v>152</v>
      </c>
      <c r="I8">
        <v>17</v>
      </c>
      <c r="J8">
        <v>87</v>
      </c>
      <c r="K8">
        <v>59</v>
      </c>
      <c r="L8">
        <v>13</v>
      </c>
      <c r="M8">
        <v>1</v>
      </c>
      <c r="N8">
        <v>2</v>
      </c>
      <c r="O8">
        <f t="shared" si="3"/>
        <v>261</v>
      </c>
      <c r="P8">
        <f t="shared" si="4"/>
        <v>45</v>
      </c>
      <c r="Q8">
        <f t="shared" si="5"/>
        <v>8</v>
      </c>
      <c r="R8">
        <f t="shared" si="6"/>
        <v>33</v>
      </c>
      <c r="S8">
        <f t="shared" si="7"/>
        <v>230</v>
      </c>
      <c r="T8">
        <f t="shared" si="8"/>
        <v>139</v>
      </c>
      <c r="U8">
        <f t="shared" si="9"/>
        <v>16</v>
      </c>
      <c r="V8">
        <f t="shared" si="10"/>
        <v>85</v>
      </c>
      <c r="X8">
        <f t="shared" si="12"/>
        <v>38</v>
      </c>
      <c r="Y8">
        <f t="shared" si="13"/>
        <v>10</v>
      </c>
      <c r="Z8">
        <f t="shared" si="14"/>
        <v>0</v>
      </c>
      <c r="AA8">
        <f t="shared" si="15"/>
        <v>2</v>
      </c>
      <c r="AB8">
        <f t="shared" si="16"/>
        <v>39</v>
      </c>
      <c r="AC8">
        <f t="shared" si="17"/>
        <v>23</v>
      </c>
      <c r="AD8">
        <f t="shared" si="18"/>
        <v>2</v>
      </c>
      <c r="AE8">
        <f t="shared" si="19"/>
        <v>14</v>
      </c>
    </row>
    <row r="9" spans="1:31">
      <c r="A9">
        <v>480.33</v>
      </c>
      <c r="C9">
        <v>229</v>
      </c>
      <c r="D9">
        <v>40</v>
      </c>
      <c r="E9">
        <v>8</v>
      </c>
      <c r="F9">
        <v>37</v>
      </c>
      <c r="G9">
        <v>322</v>
      </c>
      <c r="H9">
        <v>170</v>
      </c>
      <c r="I9">
        <v>18</v>
      </c>
      <c r="J9">
        <v>94</v>
      </c>
      <c r="K9">
        <v>62</v>
      </c>
      <c r="L9">
        <v>14</v>
      </c>
      <c r="M9">
        <v>1</v>
      </c>
      <c r="N9">
        <v>2</v>
      </c>
      <c r="O9">
        <f t="shared" si="3"/>
        <v>291</v>
      </c>
      <c r="P9">
        <f t="shared" si="4"/>
        <v>54</v>
      </c>
      <c r="Q9">
        <f t="shared" si="5"/>
        <v>9</v>
      </c>
      <c r="R9">
        <f t="shared" si="6"/>
        <v>39</v>
      </c>
      <c r="S9">
        <f t="shared" si="7"/>
        <v>260</v>
      </c>
      <c r="T9">
        <f t="shared" si="8"/>
        <v>156</v>
      </c>
      <c r="U9">
        <f t="shared" si="9"/>
        <v>17</v>
      </c>
      <c r="V9">
        <f t="shared" si="10"/>
        <v>92</v>
      </c>
      <c r="X9">
        <f t="shared" si="12"/>
        <v>30</v>
      </c>
      <c r="Y9">
        <f t="shared" si="13"/>
        <v>9</v>
      </c>
      <c r="Z9">
        <f t="shared" si="14"/>
        <v>1</v>
      </c>
      <c r="AA9">
        <f t="shared" si="15"/>
        <v>6</v>
      </c>
      <c r="AB9">
        <f t="shared" si="16"/>
        <v>30</v>
      </c>
      <c r="AC9">
        <f t="shared" si="17"/>
        <v>17</v>
      </c>
      <c r="AD9">
        <f t="shared" si="18"/>
        <v>1</v>
      </c>
      <c r="AE9">
        <f t="shared" si="19"/>
        <v>7</v>
      </c>
    </row>
    <row r="10" spans="1:31">
      <c r="A10">
        <v>540.37</v>
      </c>
      <c r="C10">
        <v>254</v>
      </c>
      <c r="D10">
        <v>46</v>
      </c>
      <c r="E10">
        <v>8</v>
      </c>
      <c r="F10">
        <v>41</v>
      </c>
      <c r="G10">
        <v>367</v>
      </c>
      <c r="H10">
        <v>197</v>
      </c>
      <c r="I10">
        <v>19</v>
      </c>
      <c r="J10">
        <v>108</v>
      </c>
      <c r="K10">
        <v>69</v>
      </c>
      <c r="L10">
        <v>17</v>
      </c>
      <c r="M10">
        <v>1</v>
      </c>
      <c r="N10">
        <v>2</v>
      </c>
      <c r="O10">
        <f t="shared" si="3"/>
        <v>323</v>
      </c>
      <c r="P10">
        <f t="shared" si="4"/>
        <v>63</v>
      </c>
      <c r="Q10">
        <f t="shared" si="5"/>
        <v>9</v>
      </c>
      <c r="R10">
        <f t="shared" si="6"/>
        <v>43</v>
      </c>
      <c r="S10">
        <f t="shared" si="7"/>
        <v>298</v>
      </c>
      <c r="T10">
        <f t="shared" si="8"/>
        <v>180</v>
      </c>
      <c r="U10">
        <f t="shared" si="9"/>
        <v>18</v>
      </c>
      <c r="V10">
        <f t="shared" si="10"/>
        <v>106</v>
      </c>
      <c r="X10">
        <f t="shared" si="12"/>
        <v>32</v>
      </c>
      <c r="Y10">
        <f t="shared" si="13"/>
        <v>9</v>
      </c>
      <c r="Z10">
        <f t="shared" si="14"/>
        <v>0</v>
      </c>
      <c r="AA10">
        <f t="shared" si="15"/>
        <v>4</v>
      </c>
      <c r="AB10">
        <f t="shared" si="16"/>
        <v>38</v>
      </c>
      <c r="AC10">
        <f t="shared" si="17"/>
        <v>24</v>
      </c>
      <c r="AD10">
        <f t="shared" si="18"/>
        <v>1</v>
      </c>
      <c r="AE10">
        <f t="shared" si="19"/>
        <v>14</v>
      </c>
    </row>
    <row r="11" spans="1:31">
      <c r="A11">
        <v>600.41</v>
      </c>
      <c r="C11">
        <v>285</v>
      </c>
      <c r="D11">
        <v>51</v>
      </c>
      <c r="E11">
        <v>8</v>
      </c>
      <c r="F11">
        <v>42</v>
      </c>
      <c r="G11">
        <v>408</v>
      </c>
      <c r="H11">
        <v>207</v>
      </c>
      <c r="I11">
        <v>21</v>
      </c>
      <c r="J11">
        <v>129</v>
      </c>
      <c r="K11">
        <v>78</v>
      </c>
      <c r="L11">
        <v>18</v>
      </c>
      <c r="M11">
        <v>1</v>
      </c>
      <c r="N11">
        <v>4</v>
      </c>
      <c r="O11">
        <f t="shared" si="3"/>
        <v>363</v>
      </c>
      <c r="P11">
        <f t="shared" si="4"/>
        <v>69</v>
      </c>
      <c r="Q11">
        <f t="shared" si="5"/>
        <v>9</v>
      </c>
      <c r="R11">
        <f t="shared" si="6"/>
        <v>46</v>
      </c>
      <c r="S11">
        <f t="shared" si="7"/>
        <v>330</v>
      </c>
      <c r="T11">
        <f t="shared" si="8"/>
        <v>189</v>
      </c>
      <c r="U11">
        <f t="shared" si="9"/>
        <v>20</v>
      </c>
      <c r="V11">
        <f t="shared" si="10"/>
        <v>125</v>
      </c>
      <c r="X11">
        <f t="shared" si="12"/>
        <v>40</v>
      </c>
      <c r="Y11">
        <f t="shared" si="13"/>
        <v>6</v>
      </c>
      <c r="Z11">
        <f t="shared" si="14"/>
        <v>0</v>
      </c>
      <c r="AA11">
        <f t="shared" si="15"/>
        <v>3</v>
      </c>
      <c r="AB11">
        <f t="shared" si="16"/>
        <v>32</v>
      </c>
      <c r="AC11">
        <f t="shared" si="17"/>
        <v>9</v>
      </c>
      <c r="AD11">
        <f t="shared" si="18"/>
        <v>2</v>
      </c>
      <c r="AE11">
        <f t="shared" si="19"/>
        <v>19</v>
      </c>
    </row>
    <row r="12" spans="1:31">
      <c r="A12">
        <v>660.45</v>
      </c>
      <c r="C12">
        <v>313</v>
      </c>
      <c r="D12">
        <v>55</v>
      </c>
      <c r="E12">
        <v>10</v>
      </c>
      <c r="F12">
        <v>47</v>
      </c>
      <c r="G12">
        <v>450</v>
      </c>
      <c r="H12">
        <v>219</v>
      </c>
      <c r="I12">
        <v>26</v>
      </c>
      <c r="J12">
        <v>137</v>
      </c>
      <c r="K12">
        <v>85</v>
      </c>
      <c r="L12">
        <v>18</v>
      </c>
      <c r="M12">
        <v>1</v>
      </c>
      <c r="N12">
        <v>5</v>
      </c>
      <c r="O12">
        <f t="shared" si="3"/>
        <v>398</v>
      </c>
      <c r="P12">
        <f t="shared" si="4"/>
        <v>73</v>
      </c>
      <c r="Q12">
        <f t="shared" si="5"/>
        <v>11</v>
      </c>
      <c r="R12">
        <f t="shared" si="6"/>
        <v>52</v>
      </c>
      <c r="S12">
        <f t="shared" si="7"/>
        <v>365</v>
      </c>
      <c r="T12">
        <f t="shared" si="8"/>
        <v>201</v>
      </c>
      <c r="U12">
        <f t="shared" si="9"/>
        <v>25</v>
      </c>
      <c r="V12">
        <f t="shared" si="10"/>
        <v>132</v>
      </c>
      <c r="X12">
        <f t="shared" si="12"/>
        <v>35</v>
      </c>
      <c r="Y12">
        <f t="shared" si="13"/>
        <v>4</v>
      </c>
      <c r="Z12">
        <f t="shared" si="14"/>
        <v>2</v>
      </c>
      <c r="AA12">
        <f t="shared" si="15"/>
        <v>6</v>
      </c>
      <c r="AB12">
        <f t="shared" si="16"/>
        <v>35</v>
      </c>
      <c r="AC12">
        <f t="shared" si="17"/>
        <v>12</v>
      </c>
      <c r="AD12">
        <f t="shared" si="18"/>
        <v>5</v>
      </c>
      <c r="AE12">
        <f t="shared" si="19"/>
        <v>7</v>
      </c>
    </row>
    <row r="13" spans="1:31">
      <c r="A13">
        <v>720.49</v>
      </c>
      <c r="C13">
        <v>341</v>
      </c>
      <c r="D13">
        <v>62</v>
      </c>
      <c r="E13">
        <v>10</v>
      </c>
      <c r="F13">
        <v>50</v>
      </c>
      <c r="G13">
        <v>481</v>
      </c>
      <c r="H13">
        <v>239</v>
      </c>
      <c r="I13">
        <v>28</v>
      </c>
      <c r="J13">
        <v>152</v>
      </c>
      <c r="K13">
        <v>92</v>
      </c>
      <c r="L13">
        <v>20</v>
      </c>
      <c r="M13">
        <v>1</v>
      </c>
      <c r="N13">
        <v>6</v>
      </c>
      <c r="O13">
        <f t="shared" si="3"/>
        <v>433</v>
      </c>
      <c r="P13">
        <f t="shared" si="4"/>
        <v>82</v>
      </c>
      <c r="Q13">
        <f t="shared" si="5"/>
        <v>11</v>
      </c>
      <c r="R13">
        <f t="shared" si="6"/>
        <v>56</v>
      </c>
      <c r="S13">
        <f t="shared" si="7"/>
        <v>389</v>
      </c>
      <c r="T13">
        <f t="shared" si="8"/>
        <v>219</v>
      </c>
      <c r="U13">
        <f t="shared" si="9"/>
        <v>27</v>
      </c>
      <c r="V13">
        <f t="shared" si="10"/>
        <v>146</v>
      </c>
      <c r="X13">
        <f t="shared" si="12"/>
        <v>35</v>
      </c>
      <c r="Y13">
        <f t="shared" si="13"/>
        <v>9</v>
      </c>
      <c r="Z13">
        <f t="shared" si="14"/>
        <v>0</v>
      </c>
      <c r="AA13">
        <f t="shared" si="15"/>
        <v>4</v>
      </c>
      <c r="AB13">
        <f t="shared" si="16"/>
        <v>24</v>
      </c>
      <c r="AC13">
        <f t="shared" si="17"/>
        <v>18</v>
      </c>
      <c r="AD13">
        <f t="shared" si="18"/>
        <v>2</v>
      </c>
      <c r="AE13">
        <f t="shared" si="19"/>
        <v>14</v>
      </c>
    </row>
    <row r="14" spans="1:31">
      <c r="A14">
        <v>780.45</v>
      </c>
      <c r="C14">
        <v>364</v>
      </c>
      <c r="D14">
        <v>63</v>
      </c>
      <c r="E14">
        <v>11</v>
      </c>
      <c r="F14">
        <v>55</v>
      </c>
      <c r="G14">
        <v>513</v>
      </c>
      <c r="H14">
        <v>263</v>
      </c>
      <c r="I14">
        <v>29</v>
      </c>
      <c r="J14">
        <v>165</v>
      </c>
      <c r="K14">
        <v>95</v>
      </c>
      <c r="L14">
        <v>20</v>
      </c>
      <c r="M14">
        <v>1</v>
      </c>
      <c r="N14">
        <v>7</v>
      </c>
      <c r="O14">
        <f t="shared" si="3"/>
        <v>459</v>
      </c>
      <c r="P14">
        <f t="shared" si="4"/>
        <v>83</v>
      </c>
      <c r="Q14">
        <f t="shared" si="5"/>
        <v>12</v>
      </c>
      <c r="R14">
        <f t="shared" si="6"/>
        <v>62</v>
      </c>
      <c r="S14">
        <f t="shared" si="7"/>
        <v>418</v>
      </c>
      <c r="T14">
        <f t="shared" si="8"/>
        <v>243</v>
      </c>
      <c r="U14">
        <f t="shared" si="9"/>
        <v>28</v>
      </c>
      <c r="V14">
        <f t="shared" si="10"/>
        <v>158</v>
      </c>
      <c r="X14">
        <f t="shared" si="12"/>
        <v>26</v>
      </c>
      <c r="Y14">
        <f t="shared" si="13"/>
        <v>1</v>
      </c>
      <c r="Z14">
        <f t="shared" si="14"/>
        <v>1</v>
      </c>
      <c r="AA14">
        <f t="shared" si="15"/>
        <v>6</v>
      </c>
      <c r="AB14">
        <f t="shared" si="16"/>
        <v>29</v>
      </c>
      <c r="AC14">
        <f t="shared" si="17"/>
        <v>24</v>
      </c>
      <c r="AD14">
        <f t="shared" si="18"/>
        <v>1</v>
      </c>
      <c r="AE14">
        <f t="shared" si="19"/>
        <v>12</v>
      </c>
    </row>
    <row r="15" spans="1:31">
      <c r="O15">
        <f t="shared" si="3"/>
        <v>0</v>
      </c>
      <c r="P15">
        <f t="shared" si="4"/>
        <v>0</v>
      </c>
      <c r="Q15">
        <f t="shared" si="5"/>
        <v>0</v>
      </c>
      <c r="R15">
        <f t="shared" si="6"/>
        <v>0</v>
      </c>
      <c r="S15">
        <f t="shared" si="7"/>
        <v>0</v>
      </c>
      <c r="T15">
        <f t="shared" si="8"/>
        <v>0</v>
      </c>
      <c r="U15">
        <f t="shared" si="9"/>
        <v>0</v>
      </c>
      <c r="V15">
        <f t="shared" si="10"/>
        <v>0</v>
      </c>
    </row>
    <row r="16" spans="1:31">
      <c r="A16">
        <v>900.04</v>
      </c>
      <c r="C16">
        <v>29</v>
      </c>
      <c r="D16">
        <v>0</v>
      </c>
      <c r="E16">
        <v>1</v>
      </c>
      <c r="F16">
        <v>4</v>
      </c>
      <c r="G16">
        <v>37</v>
      </c>
      <c r="H16">
        <v>22</v>
      </c>
      <c r="I16">
        <v>2</v>
      </c>
      <c r="J16">
        <v>13</v>
      </c>
      <c r="K16">
        <v>7</v>
      </c>
      <c r="L16">
        <v>0</v>
      </c>
      <c r="M16">
        <v>0</v>
      </c>
      <c r="N16">
        <v>0</v>
      </c>
      <c r="O16">
        <f t="shared" si="3"/>
        <v>36</v>
      </c>
      <c r="P16">
        <f t="shared" si="4"/>
        <v>0</v>
      </c>
      <c r="Q16">
        <f t="shared" si="5"/>
        <v>1</v>
      </c>
      <c r="R16">
        <f t="shared" si="6"/>
        <v>4</v>
      </c>
      <c r="S16">
        <f t="shared" si="7"/>
        <v>30</v>
      </c>
      <c r="T16">
        <f t="shared" si="8"/>
        <v>22</v>
      </c>
      <c r="U16">
        <f t="shared" si="9"/>
        <v>2</v>
      </c>
      <c r="V16">
        <f t="shared" si="10"/>
        <v>13</v>
      </c>
      <c r="X16">
        <f t="shared" si="12"/>
        <v>36</v>
      </c>
      <c r="Y16">
        <f t="shared" si="13"/>
        <v>0</v>
      </c>
      <c r="Z16">
        <f t="shared" si="14"/>
        <v>1</v>
      </c>
      <c r="AA16">
        <f t="shared" si="15"/>
        <v>4</v>
      </c>
      <c r="AB16">
        <f t="shared" si="16"/>
        <v>30</v>
      </c>
      <c r="AC16">
        <f t="shared" si="17"/>
        <v>22</v>
      </c>
      <c r="AD16">
        <f t="shared" si="18"/>
        <v>2</v>
      </c>
      <c r="AE16">
        <f t="shared" si="19"/>
        <v>13</v>
      </c>
    </row>
    <row r="17" spans="1:31">
      <c r="A17">
        <v>960.08</v>
      </c>
      <c r="C17">
        <v>55</v>
      </c>
      <c r="D17">
        <v>3</v>
      </c>
      <c r="E17">
        <v>1</v>
      </c>
      <c r="F17">
        <v>9</v>
      </c>
      <c r="G17">
        <v>73</v>
      </c>
      <c r="H17">
        <v>41</v>
      </c>
      <c r="I17">
        <v>3</v>
      </c>
      <c r="J17">
        <v>33</v>
      </c>
      <c r="K17">
        <v>10</v>
      </c>
      <c r="L17">
        <v>3</v>
      </c>
      <c r="M17">
        <v>0</v>
      </c>
      <c r="N17">
        <v>0</v>
      </c>
      <c r="O17">
        <f t="shared" si="3"/>
        <v>65</v>
      </c>
      <c r="P17">
        <f t="shared" si="4"/>
        <v>6</v>
      </c>
      <c r="Q17">
        <f t="shared" si="5"/>
        <v>1</v>
      </c>
      <c r="R17">
        <f t="shared" si="6"/>
        <v>9</v>
      </c>
      <c r="S17">
        <f t="shared" si="7"/>
        <v>63</v>
      </c>
      <c r="T17">
        <f t="shared" si="8"/>
        <v>38</v>
      </c>
      <c r="U17">
        <f t="shared" si="9"/>
        <v>3</v>
      </c>
      <c r="V17">
        <f t="shared" si="10"/>
        <v>33</v>
      </c>
      <c r="X17">
        <f t="shared" si="12"/>
        <v>29</v>
      </c>
      <c r="Y17">
        <f t="shared" si="13"/>
        <v>6</v>
      </c>
      <c r="Z17">
        <f t="shared" si="14"/>
        <v>0</v>
      </c>
      <c r="AA17">
        <f t="shared" si="15"/>
        <v>5</v>
      </c>
      <c r="AB17">
        <f t="shared" si="16"/>
        <v>33</v>
      </c>
      <c r="AC17">
        <f t="shared" si="17"/>
        <v>16</v>
      </c>
      <c r="AD17">
        <f t="shared" si="18"/>
        <v>1</v>
      </c>
      <c r="AE17">
        <f t="shared" si="19"/>
        <v>20</v>
      </c>
    </row>
    <row r="18" spans="1:31">
      <c r="A18">
        <v>1020.12</v>
      </c>
      <c r="C18">
        <v>85</v>
      </c>
      <c r="D18">
        <v>7</v>
      </c>
      <c r="E18">
        <v>4</v>
      </c>
      <c r="F18">
        <v>11</v>
      </c>
      <c r="G18">
        <v>114</v>
      </c>
      <c r="H18">
        <v>62</v>
      </c>
      <c r="I18">
        <v>3</v>
      </c>
      <c r="J18">
        <v>47</v>
      </c>
      <c r="K18">
        <v>22</v>
      </c>
      <c r="L18">
        <v>7</v>
      </c>
      <c r="M18">
        <v>0</v>
      </c>
      <c r="N18">
        <v>0</v>
      </c>
      <c r="O18">
        <f t="shared" si="3"/>
        <v>107</v>
      </c>
      <c r="P18">
        <f t="shared" si="4"/>
        <v>14</v>
      </c>
      <c r="Q18">
        <f t="shared" si="5"/>
        <v>4</v>
      </c>
      <c r="R18">
        <f t="shared" si="6"/>
        <v>11</v>
      </c>
      <c r="S18">
        <f t="shared" si="7"/>
        <v>92</v>
      </c>
      <c r="T18">
        <f t="shared" si="8"/>
        <v>55</v>
      </c>
      <c r="U18">
        <f t="shared" si="9"/>
        <v>3</v>
      </c>
      <c r="V18">
        <f t="shared" si="10"/>
        <v>47</v>
      </c>
      <c r="X18">
        <f t="shared" si="12"/>
        <v>42</v>
      </c>
      <c r="Y18">
        <f t="shared" si="13"/>
        <v>8</v>
      </c>
      <c r="Z18">
        <f t="shared" si="14"/>
        <v>3</v>
      </c>
      <c r="AA18">
        <f t="shared" si="15"/>
        <v>2</v>
      </c>
      <c r="AB18">
        <f t="shared" si="16"/>
        <v>29</v>
      </c>
      <c r="AC18">
        <f t="shared" si="17"/>
        <v>17</v>
      </c>
      <c r="AD18">
        <f t="shared" si="18"/>
        <v>0</v>
      </c>
      <c r="AE18">
        <f t="shared" si="19"/>
        <v>14</v>
      </c>
    </row>
    <row r="19" spans="1:31">
      <c r="A19">
        <v>1080.1600000000001</v>
      </c>
      <c r="C19">
        <v>109</v>
      </c>
      <c r="D19">
        <v>13</v>
      </c>
      <c r="E19">
        <v>5</v>
      </c>
      <c r="F19">
        <v>16</v>
      </c>
      <c r="G19">
        <v>155</v>
      </c>
      <c r="H19">
        <v>74</v>
      </c>
      <c r="I19">
        <v>4</v>
      </c>
      <c r="J19">
        <v>59</v>
      </c>
      <c r="K19">
        <v>34</v>
      </c>
      <c r="L19">
        <v>8</v>
      </c>
      <c r="M19">
        <v>0</v>
      </c>
      <c r="N19">
        <v>0</v>
      </c>
      <c r="O19">
        <f t="shared" si="3"/>
        <v>143</v>
      </c>
      <c r="P19">
        <f t="shared" si="4"/>
        <v>21</v>
      </c>
      <c r="Q19">
        <f t="shared" si="5"/>
        <v>5</v>
      </c>
      <c r="R19">
        <f t="shared" si="6"/>
        <v>16</v>
      </c>
      <c r="S19">
        <f t="shared" si="7"/>
        <v>121</v>
      </c>
      <c r="T19">
        <f t="shared" si="8"/>
        <v>66</v>
      </c>
      <c r="U19">
        <f t="shared" si="9"/>
        <v>4</v>
      </c>
      <c r="V19">
        <f t="shared" si="10"/>
        <v>59</v>
      </c>
      <c r="X19">
        <f t="shared" si="12"/>
        <v>36</v>
      </c>
      <c r="Y19">
        <f t="shared" si="13"/>
        <v>7</v>
      </c>
      <c r="Z19">
        <f t="shared" si="14"/>
        <v>1</v>
      </c>
      <c r="AA19">
        <f t="shared" si="15"/>
        <v>5</v>
      </c>
      <c r="AB19">
        <f t="shared" si="16"/>
        <v>29</v>
      </c>
      <c r="AC19">
        <f t="shared" si="17"/>
        <v>11</v>
      </c>
      <c r="AD19">
        <f t="shared" si="18"/>
        <v>1</v>
      </c>
      <c r="AE19">
        <f t="shared" si="19"/>
        <v>12</v>
      </c>
    </row>
    <row r="20" spans="1:31">
      <c r="A20">
        <v>1140.2</v>
      </c>
      <c r="C20">
        <v>137</v>
      </c>
      <c r="D20">
        <v>13</v>
      </c>
      <c r="E20">
        <v>7</v>
      </c>
      <c r="F20">
        <v>19</v>
      </c>
      <c r="G20">
        <v>193</v>
      </c>
      <c r="H20">
        <v>93</v>
      </c>
      <c r="I20">
        <v>4</v>
      </c>
      <c r="J20">
        <v>80</v>
      </c>
      <c r="K20">
        <v>43</v>
      </c>
      <c r="L20">
        <v>10</v>
      </c>
      <c r="M20">
        <v>0</v>
      </c>
      <c r="N20">
        <v>0</v>
      </c>
      <c r="O20">
        <f t="shared" si="3"/>
        <v>180</v>
      </c>
      <c r="P20">
        <f t="shared" si="4"/>
        <v>23</v>
      </c>
      <c r="Q20">
        <f t="shared" si="5"/>
        <v>7</v>
      </c>
      <c r="R20">
        <f t="shared" si="6"/>
        <v>19</v>
      </c>
      <c r="S20">
        <f t="shared" si="7"/>
        <v>150</v>
      </c>
      <c r="T20">
        <f t="shared" si="8"/>
        <v>83</v>
      </c>
      <c r="U20">
        <f t="shared" si="9"/>
        <v>4</v>
      </c>
      <c r="V20">
        <f t="shared" si="10"/>
        <v>80</v>
      </c>
      <c r="X20">
        <f t="shared" si="12"/>
        <v>37</v>
      </c>
      <c r="Y20">
        <f t="shared" si="13"/>
        <v>2</v>
      </c>
      <c r="Z20">
        <f t="shared" si="14"/>
        <v>2</v>
      </c>
      <c r="AA20">
        <f t="shared" si="15"/>
        <v>3</v>
      </c>
      <c r="AB20">
        <f t="shared" si="16"/>
        <v>29</v>
      </c>
      <c r="AC20">
        <f t="shared" si="17"/>
        <v>17</v>
      </c>
      <c r="AD20">
        <f t="shared" si="18"/>
        <v>0</v>
      </c>
      <c r="AE20">
        <f t="shared" si="19"/>
        <v>21</v>
      </c>
    </row>
    <row r="21" spans="1:31">
      <c r="A21">
        <v>1200.24</v>
      </c>
      <c r="C21">
        <v>163</v>
      </c>
      <c r="D21">
        <v>14</v>
      </c>
      <c r="E21">
        <v>8</v>
      </c>
      <c r="F21">
        <v>22</v>
      </c>
      <c r="G21">
        <v>238</v>
      </c>
      <c r="H21">
        <v>119</v>
      </c>
      <c r="I21">
        <v>5</v>
      </c>
      <c r="J21">
        <v>108</v>
      </c>
      <c r="K21">
        <v>48</v>
      </c>
      <c r="L21">
        <v>15</v>
      </c>
      <c r="M21">
        <v>0</v>
      </c>
      <c r="N21">
        <v>2</v>
      </c>
      <c r="O21">
        <f t="shared" si="3"/>
        <v>211</v>
      </c>
      <c r="P21">
        <f t="shared" si="4"/>
        <v>29</v>
      </c>
      <c r="Q21">
        <f t="shared" si="5"/>
        <v>8</v>
      </c>
      <c r="R21">
        <f t="shared" si="6"/>
        <v>24</v>
      </c>
      <c r="S21">
        <f t="shared" si="7"/>
        <v>190</v>
      </c>
      <c r="T21">
        <f t="shared" si="8"/>
        <v>104</v>
      </c>
      <c r="U21">
        <f t="shared" si="9"/>
        <v>5</v>
      </c>
      <c r="V21">
        <f t="shared" si="10"/>
        <v>106</v>
      </c>
      <c r="X21">
        <f t="shared" si="12"/>
        <v>31</v>
      </c>
      <c r="Y21">
        <f t="shared" si="13"/>
        <v>6</v>
      </c>
      <c r="Z21">
        <f t="shared" si="14"/>
        <v>1</v>
      </c>
      <c r="AA21">
        <f t="shared" si="15"/>
        <v>5</v>
      </c>
      <c r="AB21">
        <f t="shared" si="16"/>
        <v>40</v>
      </c>
      <c r="AC21">
        <f t="shared" si="17"/>
        <v>21</v>
      </c>
      <c r="AD21">
        <f t="shared" si="18"/>
        <v>1</v>
      </c>
      <c r="AE21">
        <f t="shared" si="19"/>
        <v>26</v>
      </c>
    </row>
    <row r="22" spans="1:31">
      <c r="A22">
        <v>1260.28</v>
      </c>
      <c r="C22">
        <v>187</v>
      </c>
      <c r="D22">
        <v>14</v>
      </c>
      <c r="E22">
        <v>10</v>
      </c>
      <c r="F22">
        <v>26</v>
      </c>
      <c r="G22">
        <v>269</v>
      </c>
      <c r="H22">
        <v>133</v>
      </c>
      <c r="I22">
        <v>6</v>
      </c>
      <c r="J22">
        <v>125</v>
      </c>
      <c r="K22">
        <v>53</v>
      </c>
      <c r="L22">
        <v>18</v>
      </c>
      <c r="M22">
        <v>0</v>
      </c>
      <c r="N22">
        <v>2</v>
      </c>
      <c r="O22">
        <f t="shared" si="3"/>
        <v>240</v>
      </c>
      <c r="P22">
        <f t="shared" si="4"/>
        <v>32</v>
      </c>
      <c r="Q22">
        <f t="shared" si="5"/>
        <v>10</v>
      </c>
      <c r="R22">
        <f t="shared" si="6"/>
        <v>28</v>
      </c>
      <c r="S22">
        <f t="shared" si="7"/>
        <v>216</v>
      </c>
      <c r="T22">
        <f t="shared" si="8"/>
        <v>115</v>
      </c>
      <c r="U22">
        <f t="shared" si="9"/>
        <v>6</v>
      </c>
      <c r="V22">
        <f t="shared" si="10"/>
        <v>123</v>
      </c>
      <c r="X22">
        <f t="shared" si="12"/>
        <v>29</v>
      </c>
      <c r="Y22">
        <f t="shared" si="13"/>
        <v>3</v>
      </c>
      <c r="Z22">
        <f t="shared" si="14"/>
        <v>2</v>
      </c>
      <c r="AA22">
        <f t="shared" si="15"/>
        <v>4</v>
      </c>
      <c r="AB22">
        <f t="shared" si="16"/>
        <v>26</v>
      </c>
      <c r="AC22">
        <f t="shared" si="17"/>
        <v>11</v>
      </c>
      <c r="AD22">
        <f t="shared" si="18"/>
        <v>1</v>
      </c>
      <c r="AE22">
        <f t="shared" si="19"/>
        <v>17</v>
      </c>
    </row>
    <row r="23" spans="1:31">
      <c r="A23">
        <v>1320.33</v>
      </c>
      <c r="C23">
        <v>217</v>
      </c>
      <c r="D23">
        <v>19</v>
      </c>
      <c r="E23">
        <v>11</v>
      </c>
      <c r="F23">
        <v>29</v>
      </c>
      <c r="G23">
        <v>312</v>
      </c>
      <c r="H23">
        <v>145</v>
      </c>
      <c r="I23">
        <v>7</v>
      </c>
      <c r="J23">
        <v>135</v>
      </c>
      <c r="K23">
        <v>59</v>
      </c>
      <c r="L23">
        <v>23</v>
      </c>
      <c r="M23">
        <v>0</v>
      </c>
      <c r="N23">
        <v>2</v>
      </c>
      <c r="O23">
        <f t="shared" si="3"/>
        <v>276</v>
      </c>
      <c r="P23">
        <f t="shared" si="4"/>
        <v>42</v>
      </c>
      <c r="Q23">
        <f t="shared" si="5"/>
        <v>11</v>
      </c>
      <c r="R23">
        <f t="shared" si="6"/>
        <v>31</v>
      </c>
      <c r="S23">
        <f t="shared" si="7"/>
        <v>253</v>
      </c>
      <c r="T23">
        <f t="shared" si="8"/>
        <v>122</v>
      </c>
      <c r="U23">
        <f t="shared" si="9"/>
        <v>7</v>
      </c>
      <c r="V23">
        <f t="shared" si="10"/>
        <v>133</v>
      </c>
      <c r="X23">
        <f t="shared" si="12"/>
        <v>36</v>
      </c>
      <c r="Y23">
        <f t="shared" si="13"/>
        <v>10</v>
      </c>
      <c r="Z23">
        <f t="shared" si="14"/>
        <v>1</v>
      </c>
      <c r="AA23">
        <f t="shared" si="15"/>
        <v>3</v>
      </c>
      <c r="AB23">
        <f t="shared" si="16"/>
        <v>37</v>
      </c>
      <c r="AC23">
        <f t="shared" si="17"/>
        <v>7</v>
      </c>
      <c r="AD23">
        <f t="shared" si="18"/>
        <v>1</v>
      </c>
      <c r="AE23">
        <f t="shared" si="19"/>
        <v>10</v>
      </c>
    </row>
    <row r="24" spans="1:31">
      <c r="A24">
        <v>1380.37</v>
      </c>
      <c r="C24">
        <v>247</v>
      </c>
      <c r="D24">
        <v>21</v>
      </c>
      <c r="E24">
        <v>12</v>
      </c>
      <c r="F24">
        <v>33</v>
      </c>
      <c r="G24">
        <v>348</v>
      </c>
      <c r="H24">
        <v>157</v>
      </c>
      <c r="I24">
        <v>12</v>
      </c>
      <c r="J24">
        <v>154</v>
      </c>
      <c r="K24">
        <v>63</v>
      </c>
      <c r="L24">
        <v>24</v>
      </c>
      <c r="M24">
        <v>0</v>
      </c>
      <c r="N24">
        <v>4</v>
      </c>
      <c r="O24">
        <f t="shared" si="3"/>
        <v>310</v>
      </c>
      <c r="P24">
        <f t="shared" si="4"/>
        <v>45</v>
      </c>
      <c r="Q24">
        <f t="shared" si="5"/>
        <v>12</v>
      </c>
      <c r="R24">
        <f t="shared" si="6"/>
        <v>37</v>
      </c>
      <c r="S24">
        <f t="shared" si="7"/>
        <v>285</v>
      </c>
      <c r="T24">
        <f t="shared" si="8"/>
        <v>133</v>
      </c>
      <c r="U24">
        <f t="shared" si="9"/>
        <v>12</v>
      </c>
      <c r="V24">
        <f t="shared" si="10"/>
        <v>150</v>
      </c>
      <c r="X24">
        <f t="shared" si="12"/>
        <v>34</v>
      </c>
      <c r="Y24">
        <f t="shared" si="13"/>
        <v>3</v>
      </c>
      <c r="Z24">
        <f t="shared" si="14"/>
        <v>1</v>
      </c>
      <c r="AA24">
        <f t="shared" si="15"/>
        <v>6</v>
      </c>
      <c r="AB24">
        <f t="shared" si="16"/>
        <v>32</v>
      </c>
      <c r="AC24">
        <f t="shared" si="17"/>
        <v>11</v>
      </c>
      <c r="AD24">
        <f t="shared" si="18"/>
        <v>5</v>
      </c>
      <c r="AE24">
        <f t="shared" si="19"/>
        <v>17</v>
      </c>
    </row>
    <row r="25" spans="1:31">
      <c r="A25">
        <v>1440.4099999999999</v>
      </c>
      <c r="C25">
        <v>272</v>
      </c>
      <c r="D25">
        <v>22</v>
      </c>
      <c r="E25">
        <v>14</v>
      </c>
      <c r="F25">
        <v>36</v>
      </c>
      <c r="G25">
        <v>388</v>
      </c>
      <c r="H25">
        <v>169</v>
      </c>
      <c r="I25">
        <v>14</v>
      </c>
      <c r="J25">
        <v>162</v>
      </c>
      <c r="K25">
        <v>70</v>
      </c>
      <c r="L25">
        <v>30</v>
      </c>
      <c r="M25">
        <v>0</v>
      </c>
      <c r="N25">
        <v>4</v>
      </c>
      <c r="O25">
        <f t="shared" si="3"/>
        <v>342</v>
      </c>
      <c r="P25">
        <f t="shared" si="4"/>
        <v>52</v>
      </c>
      <c r="Q25">
        <f t="shared" si="5"/>
        <v>14</v>
      </c>
      <c r="R25">
        <f t="shared" si="6"/>
        <v>40</v>
      </c>
      <c r="S25">
        <f t="shared" si="7"/>
        <v>318</v>
      </c>
      <c r="T25">
        <f t="shared" si="8"/>
        <v>139</v>
      </c>
      <c r="U25">
        <f t="shared" si="9"/>
        <v>14</v>
      </c>
      <c r="V25">
        <f t="shared" si="10"/>
        <v>158</v>
      </c>
      <c r="X25">
        <f t="shared" si="12"/>
        <v>32</v>
      </c>
      <c r="Y25">
        <f t="shared" si="13"/>
        <v>7</v>
      </c>
      <c r="Z25">
        <f t="shared" si="14"/>
        <v>2</v>
      </c>
      <c r="AA25">
        <f t="shared" si="15"/>
        <v>3</v>
      </c>
      <c r="AB25">
        <f t="shared" si="16"/>
        <v>33</v>
      </c>
      <c r="AC25">
        <f t="shared" si="17"/>
        <v>6</v>
      </c>
      <c r="AD25">
        <f t="shared" si="18"/>
        <v>2</v>
      </c>
      <c r="AE25">
        <f t="shared" si="19"/>
        <v>8</v>
      </c>
    </row>
    <row r="26" spans="1:31">
      <c r="A26">
        <v>1500.45</v>
      </c>
      <c r="C26">
        <v>297</v>
      </c>
      <c r="D26">
        <v>25</v>
      </c>
      <c r="E26">
        <v>18</v>
      </c>
      <c r="F26">
        <v>38</v>
      </c>
      <c r="G26">
        <v>424</v>
      </c>
      <c r="H26">
        <v>182</v>
      </c>
      <c r="I26">
        <v>21</v>
      </c>
      <c r="J26">
        <v>172</v>
      </c>
      <c r="K26">
        <v>76</v>
      </c>
      <c r="L26">
        <v>33</v>
      </c>
      <c r="M26">
        <v>2</v>
      </c>
      <c r="N26">
        <v>5</v>
      </c>
      <c r="O26">
        <f t="shared" si="3"/>
        <v>373</v>
      </c>
      <c r="P26">
        <f t="shared" si="4"/>
        <v>58</v>
      </c>
      <c r="Q26">
        <f t="shared" si="5"/>
        <v>20</v>
      </c>
      <c r="R26">
        <f t="shared" si="6"/>
        <v>43</v>
      </c>
      <c r="S26">
        <f t="shared" si="7"/>
        <v>348</v>
      </c>
      <c r="T26">
        <f t="shared" si="8"/>
        <v>149</v>
      </c>
      <c r="U26">
        <f t="shared" si="9"/>
        <v>19</v>
      </c>
      <c r="V26">
        <f t="shared" si="10"/>
        <v>167</v>
      </c>
      <c r="X26">
        <f t="shared" si="12"/>
        <v>31</v>
      </c>
      <c r="Y26">
        <f t="shared" si="13"/>
        <v>6</v>
      </c>
      <c r="Z26">
        <f t="shared" si="14"/>
        <v>6</v>
      </c>
      <c r="AA26">
        <f t="shared" si="15"/>
        <v>3</v>
      </c>
      <c r="AB26">
        <f t="shared" si="16"/>
        <v>30</v>
      </c>
      <c r="AC26">
        <f t="shared" si="17"/>
        <v>10</v>
      </c>
      <c r="AD26">
        <f t="shared" si="18"/>
        <v>5</v>
      </c>
      <c r="AE26">
        <f t="shared" si="19"/>
        <v>9</v>
      </c>
    </row>
    <row r="27" spans="1:31">
      <c r="A27">
        <v>1560.49</v>
      </c>
      <c r="C27">
        <v>320</v>
      </c>
      <c r="D27">
        <v>27</v>
      </c>
      <c r="E27">
        <v>18</v>
      </c>
      <c r="F27">
        <v>44</v>
      </c>
      <c r="G27">
        <v>465</v>
      </c>
      <c r="H27">
        <v>193</v>
      </c>
      <c r="I27">
        <v>23</v>
      </c>
      <c r="J27">
        <v>191</v>
      </c>
      <c r="K27">
        <v>87</v>
      </c>
      <c r="L27">
        <v>33</v>
      </c>
      <c r="M27">
        <v>2</v>
      </c>
      <c r="N27">
        <v>6</v>
      </c>
      <c r="O27">
        <f t="shared" si="3"/>
        <v>407</v>
      </c>
      <c r="P27">
        <f t="shared" si="4"/>
        <v>60</v>
      </c>
      <c r="Q27">
        <f t="shared" si="5"/>
        <v>20</v>
      </c>
      <c r="R27">
        <f t="shared" si="6"/>
        <v>50</v>
      </c>
      <c r="S27">
        <f t="shared" si="7"/>
        <v>378</v>
      </c>
      <c r="T27">
        <f t="shared" si="8"/>
        <v>160</v>
      </c>
      <c r="U27">
        <f t="shared" si="9"/>
        <v>21</v>
      </c>
      <c r="V27">
        <f t="shared" si="10"/>
        <v>185</v>
      </c>
      <c r="X27">
        <f t="shared" si="12"/>
        <v>34</v>
      </c>
      <c r="Y27">
        <f t="shared" si="13"/>
        <v>2</v>
      </c>
      <c r="Z27">
        <f t="shared" si="14"/>
        <v>0</v>
      </c>
      <c r="AA27">
        <f t="shared" si="15"/>
        <v>7</v>
      </c>
      <c r="AB27">
        <f t="shared" si="16"/>
        <v>30</v>
      </c>
      <c r="AC27">
        <f t="shared" si="17"/>
        <v>11</v>
      </c>
      <c r="AD27">
        <f t="shared" si="18"/>
        <v>2</v>
      </c>
      <c r="AE27">
        <f t="shared" si="19"/>
        <v>18</v>
      </c>
    </row>
    <row r="28" spans="1:31">
      <c r="A28">
        <v>1620.53</v>
      </c>
      <c r="C28">
        <v>353</v>
      </c>
      <c r="D28">
        <v>30</v>
      </c>
      <c r="E28">
        <v>18</v>
      </c>
      <c r="F28">
        <v>45</v>
      </c>
      <c r="G28">
        <v>502</v>
      </c>
      <c r="H28">
        <v>206</v>
      </c>
      <c r="I28">
        <v>23</v>
      </c>
      <c r="J28">
        <v>200</v>
      </c>
      <c r="K28">
        <v>96</v>
      </c>
      <c r="L28">
        <v>33</v>
      </c>
      <c r="M28">
        <v>2</v>
      </c>
      <c r="N28">
        <v>6</v>
      </c>
      <c r="O28">
        <f t="shared" si="3"/>
        <v>449</v>
      </c>
      <c r="P28">
        <f t="shared" si="4"/>
        <v>63</v>
      </c>
      <c r="Q28">
        <f t="shared" si="5"/>
        <v>20</v>
      </c>
      <c r="R28">
        <f t="shared" si="6"/>
        <v>51</v>
      </c>
      <c r="S28">
        <f t="shared" si="7"/>
        <v>406</v>
      </c>
      <c r="T28">
        <f t="shared" si="8"/>
        <v>173</v>
      </c>
      <c r="U28">
        <f t="shared" si="9"/>
        <v>21</v>
      </c>
      <c r="V28">
        <f t="shared" si="10"/>
        <v>194</v>
      </c>
      <c r="X28">
        <f t="shared" si="12"/>
        <v>42</v>
      </c>
      <c r="Y28">
        <f t="shared" si="13"/>
        <v>3</v>
      </c>
      <c r="Z28">
        <f t="shared" si="14"/>
        <v>0</v>
      </c>
      <c r="AA28">
        <f t="shared" si="15"/>
        <v>1</v>
      </c>
      <c r="AB28">
        <f t="shared" si="16"/>
        <v>28</v>
      </c>
      <c r="AC28">
        <f t="shared" si="17"/>
        <v>13</v>
      </c>
      <c r="AD28">
        <f t="shared" si="18"/>
        <v>0</v>
      </c>
      <c r="AE28">
        <f t="shared" si="19"/>
        <v>9</v>
      </c>
    </row>
    <row r="29" spans="1:31">
      <c r="A29">
        <v>1680.5700000000002</v>
      </c>
      <c r="C29">
        <v>378</v>
      </c>
      <c r="D29">
        <v>31</v>
      </c>
      <c r="E29">
        <v>19</v>
      </c>
      <c r="F29">
        <v>53</v>
      </c>
      <c r="G29">
        <v>538</v>
      </c>
      <c r="H29">
        <v>216</v>
      </c>
      <c r="I29">
        <v>24</v>
      </c>
      <c r="J29">
        <v>218</v>
      </c>
      <c r="K29">
        <v>101</v>
      </c>
      <c r="L29">
        <v>34</v>
      </c>
      <c r="M29">
        <v>2</v>
      </c>
      <c r="N29">
        <v>7</v>
      </c>
      <c r="O29">
        <f t="shared" si="3"/>
        <v>479</v>
      </c>
      <c r="P29">
        <f t="shared" si="4"/>
        <v>65</v>
      </c>
      <c r="Q29">
        <f t="shared" si="5"/>
        <v>21</v>
      </c>
      <c r="R29">
        <f t="shared" si="6"/>
        <v>60</v>
      </c>
      <c r="S29">
        <f t="shared" si="7"/>
        <v>437</v>
      </c>
      <c r="T29">
        <f t="shared" si="8"/>
        <v>182</v>
      </c>
      <c r="U29">
        <f t="shared" si="9"/>
        <v>22</v>
      </c>
      <c r="V29">
        <f t="shared" si="10"/>
        <v>211</v>
      </c>
      <c r="X29">
        <f t="shared" si="12"/>
        <v>30</v>
      </c>
      <c r="Y29">
        <f t="shared" si="13"/>
        <v>2</v>
      </c>
      <c r="Z29">
        <f t="shared" si="14"/>
        <v>1</v>
      </c>
      <c r="AA29">
        <f t="shared" si="15"/>
        <v>9</v>
      </c>
      <c r="AB29">
        <f t="shared" si="16"/>
        <v>31</v>
      </c>
      <c r="AC29">
        <f t="shared" si="17"/>
        <v>9</v>
      </c>
      <c r="AD29">
        <f t="shared" si="18"/>
        <v>1</v>
      </c>
      <c r="AE29">
        <f t="shared" si="19"/>
        <v>17</v>
      </c>
    </row>
    <row r="30" spans="1:31">
      <c r="A30">
        <v>1740.6100000000001</v>
      </c>
      <c r="C30">
        <v>399</v>
      </c>
      <c r="D30">
        <v>34</v>
      </c>
      <c r="E30">
        <v>22</v>
      </c>
      <c r="F30">
        <v>59</v>
      </c>
      <c r="G30">
        <v>579</v>
      </c>
      <c r="H30">
        <v>228</v>
      </c>
      <c r="I30">
        <v>25</v>
      </c>
      <c r="J30">
        <v>231</v>
      </c>
      <c r="K30">
        <v>112</v>
      </c>
      <c r="L30">
        <v>34</v>
      </c>
      <c r="M30">
        <v>2</v>
      </c>
      <c r="N30">
        <v>7</v>
      </c>
      <c r="O30">
        <f t="shared" si="3"/>
        <v>511</v>
      </c>
      <c r="P30">
        <f t="shared" si="4"/>
        <v>68</v>
      </c>
      <c r="Q30">
        <f t="shared" si="5"/>
        <v>24</v>
      </c>
      <c r="R30">
        <f t="shared" si="6"/>
        <v>66</v>
      </c>
      <c r="S30">
        <f t="shared" si="7"/>
        <v>467</v>
      </c>
      <c r="T30">
        <f t="shared" si="8"/>
        <v>194</v>
      </c>
      <c r="U30">
        <f t="shared" si="9"/>
        <v>23</v>
      </c>
      <c r="V30">
        <f t="shared" si="10"/>
        <v>224</v>
      </c>
      <c r="X30">
        <f t="shared" si="12"/>
        <v>32</v>
      </c>
      <c r="Y30">
        <f t="shared" si="13"/>
        <v>3</v>
      </c>
      <c r="Z30">
        <f t="shared" si="14"/>
        <v>3</v>
      </c>
      <c r="AA30">
        <f t="shared" si="15"/>
        <v>6</v>
      </c>
      <c r="AB30">
        <f t="shared" si="16"/>
        <v>30</v>
      </c>
      <c r="AC30">
        <f t="shared" si="17"/>
        <v>12</v>
      </c>
      <c r="AD30">
        <f t="shared" si="18"/>
        <v>1</v>
      </c>
      <c r="AE30">
        <f t="shared" si="19"/>
        <v>13</v>
      </c>
    </row>
    <row r="31" spans="1:31">
      <c r="A31">
        <v>1800.65</v>
      </c>
      <c r="C31">
        <v>425</v>
      </c>
      <c r="D31">
        <v>36</v>
      </c>
      <c r="E31">
        <v>25</v>
      </c>
      <c r="F31">
        <v>63</v>
      </c>
      <c r="G31">
        <v>617</v>
      </c>
      <c r="H31">
        <v>242</v>
      </c>
      <c r="I31">
        <v>29</v>
      </c>
      <c r="J31">
        <v>245</v>
      </c>
      <c r="K31">
        <v>116</v>
      </c>
      <c r="L31">
        <v>36</v>
      </c>
      <c r="M31">
        <v>2</v>
      </c>
      <c r="N31">
        <v>9</v>
      </c>
      <c r="O31">
        <f t="shared" si="3"/>
        <v>541</v>
      </c>
      <c r="P31">
        <f t="shared" si="4"/>
        <v>72</v>
      </c>
      <c r="Q31">
        <f t="shared" si="5"/>
        <v>27</v>
      </c>
      <c r="R31">
        <f t="shared" si="6"/>
        <v>72</v>
      </c>
      <c r="S31">
        <f t="shared" si="7"/>
        <v>501</v>
      </c>
      <c r="T31">
        <f t="shared" si="8"/>
        <v>206</v>
      </c>
      <c r="U31">
        <f t="shared" si="9"/>
        <v>27</v>
      </c>
      <c r="V31">
        <f t="shared" si="10"/>
        <v>236</v>
      </c>
      <c r="X31">
        <f t="shared" si="12"/>
        <v>30</v>
      </c>
      <c r="Y31">
        <f t="shared" si="13"/>
        <v>4</v>
      </c>
      <c r="Z31">
        <f t="shared" si="14"/>
        <v>3</v>
      </c>
      <c r="AA31">
        <f t="shared" si="15"/>
        <v>6</v>
      </c>
      <c r="AB31">
        <f t="shared" si="16"/>
        <v>34</v>
      </c>
      <c r="AC31">
        <f t="shared" si="17"/>
        <v>12</v>
      </c>
      <c r="AD31">
        <f t="shared" si="18"/>
        <v>4</v>
      </c>
      <c r="AE31">
        <f t="shared" si="19"/>
        <v>12</v>
      </c>
    </row>
    <row r="32" spans="1:31">
      <c r="A32">
        <v>1860.69</v>
      </c>
      <c r="C32">
        <v>450</v>
      </c>
      <c r="D32">
        <v>40</v>
      </c>
      <c r="E32">
        <v>27</v>
      </c>
      <c r="F32">
        <v>64</v>
      </c>
      <c r="G32">
        <v>656</v>
      </c>
      <c r="H32">
        <v>258</v>
      </c>
      <c r="I32">
        <v>33</v>
      </c>
      <c r="J32">
        <v>260</v>
      </c>
      <c r="K32">
        <v>119</v>
      </c>
      <c r="L32">
        <v>38</v>
      </c>
      <c r="M32">
        <v>2</v>
      </c>
      <c r="N32">
        <v>10</v>
      </c>
      <c r="O32">
        <f t="shared" si="3"/>
        <v>569</v>
      </c>
      <c r="P32">
        <f t="shared" si="4"/>
        <v>78</v>
      </c>
      <c r="Q32">
        <f t="shared" si="5"/>
        <v>29</v>
      </c>
      <c r="R32">
        <f t="shared" si="6"/>
        <v>74</v>
      </c>
      <c r="S32">
        <f t="shared" si="7"/>
        <v>537</v>
      </c>
      <c r="T32">
        <f t="shared" si="8"/>
        <v>220</v>
      </c>
      <c r="U32">
        <f t="shared" si="9"/>
        <v>31</v>
      </c>
      <c r="V32">
        <f t="shared" si="10"/>
        <v>250</v>
      </c>
      <c r="X32">
        <f t="shared" si="12"/>
        <v>28</v>
      </c>
      <c r="Y32">
        <f t="shared" si="13"/>
        <v>6</v>
      </c>
      <c r="Z32">
        <f t="shared" si="14"/>
        <v>2</v>
      </c>
      <c r="AA32">
        <f t="shared" si="15"/>
        <v>2</v>
      </c>
      <c r="AB32">
        <f t="shared" si="16"/>
        <v>36</v>
      </c>
      <c r="AC32">
        <f t="shared" si="17"/>
        <v>14</v>
      </c>
      <c r="AD32">
        <f t="shared" si="18"/>
        <v>4</v>
      </c>
      <c r="AE32">
        <f t="shared" si="19"/>
        <v>14</v>
      </c>
    </row>
    <row r="33" spans="1:31">
      <c r="A33">
        <v>1920.73</v>
      </c>
      <c r="C33">
        <v>480</v>
      </c>
      <c r="D33">
        <v>44</v>
      </c>
      <c r="E33">
        <v>30</v>
      </c>
      <c r="F33">
        <v>66</v>
      </c>
      <c r="G33">
        <v>693</v>
      </c>
      <c r="H33">
        <v>269</v>
      </c>
      <c r="I33">
        <v>38</v>
      </c>
      <c r="J33">
        <v>274</v>
      </c>
      <c r="K33">
        <v>128</v>
      </c>
      <c r="L33">
        <v>41</v>
      </c>
      <c r="M33">
        <v>2</v>
      </c>
      <c r="N33">
        <v>10</v>
      </c>
      <c r="O33">
        <f t="shared" si="3"/>
        <v>608</v>
      </c>
      <c r="P33">
        <f t="shared" si="4"/>
        <v>85</v>
      </c>
      <c r="Q33">
        <f t="shared" si="5"/>
        <v>32</v>
      </c>
      <c r="R33">
        <f t="shared" si="6"/>
        <v>76</v>
      </c>
      <c r="S33">
        <f t="shared" si="7"/>
        <v>565</v>
      </c>
      <c r="T33">
        <f t="shared" si="8"/>
        <v>228</v>
      </c>
      <c r="U33">
        <f t="shared" si="9"/>
        <v>36</v>
      </c>
      <c r="V33">
        <f t="shared" si="10"/>
        <v>264</v>
      </c>
      <c r="X33">
        <f t="shared" si="12"/>
        <v>39</v>
      </c>
      <c r="Y33">
        <f t="shared" si="13"/>
        <v>7</v>
      </c>
      <c r="Z33">
        <f t="shared" si="14"/>
        <v>3</v>
      </c>
      <c r="AA33">
        <f t="shared" si="15"/>
        <v>2</v>
      </c>
      <c r="AB33">
        <f t="shared" si="16"/>
        <v>28</v>
      </c>
      <c r="AC33">
        <f t="shared" si="17"/>
        <v>8</v>
      </c>
      <c r="AD33">
        <f t="shared" si="18"/>
        <v>5</v>
      </c>
      <c r="AE33">
        <f t="shared" si="19"/>
        <v>14</v>
      </c>
    </row>
    <row r="34" spans="1:31">
      <c r="A34">
        <v>1980.77</v>
      </c>
      <c r="C34">
        <v>506</v>
      </c>
      <c r="D34">
        <v>54</v>
      </c>
      <c r="E34">
        <v>30</v>
      </c>
      <c r="F34">
        <v>68</v>
      </c>
      <c r="G34">
        <v>723</v>
      </c>
      <c r="H34">
        <v>288</v>
      </c>
      <c r="I34">
        <v>40</v>
      </c>
      <c r="J34">
        <v>283</v>
      </c>
      <c r="K34">
        <v>133</v>
      </c>
      <c r="L34">
        <v>42</v>
      </c>
      <c r="M34">
        <v>2</v>
      </c>
      <c r="N34">
        <v>11</v>
      </c>
      <c r="O34">
        <f t="shared" si="3"/>
        <v>639</v>
      </c>
      <c r="P34">
        <f t="shared" si="4"/>
        <v>96</v>
      </c>
      <c r="Q34">
        <f t="shared" si="5"/>
        <v>32</v>
      </c>
      <c r="R34">
        <f t="shared" si="6"/>
        <v>79</v>
      </c>
      <c r="S34">
        <f t="shared" si="7"/>
        <v>590</v>
      </c>
      <c r="T34">
        <f t="shared" si="8"/>
        <v>246</v>
      </c>
      <c r="U34">
        <f t="shared" si="9"/>
        <v>38</v>
      </c>
      <c r="V34">
        <f t="shared" si="10"/>
        <v>272</v>
      </c>
      <c r="X34">
        <f t="shared" si="12"/>
        <v>31</v>
      </c>
      <c r="Y34">
        <f t="shared" si="13"/>
        <v>11</v>
      </c>
      <c r="Z34">
        <f t="shared" si="14"/>
        <v>0</v>
      </c>
      <c r="AA34">
        <f t="shared" si="15"/>
        <v>3</v>
      </c>
      <c r="AB34">
        <f t="shared" si="16"/>
        <v>25</v>
      </c>
      <c r="AC34">
        <f t="shared" si="17"/>
        <v>18</v>
      </c>
      <c r="AD34">
        <f t="shared" si="18"/>
        <v>2</v>
      </c>
      <c r="AE34">
        <f t="shared" si="19"/>
        <v>8</v>
      </c>
    </row>
    <row r="35" spans="1:31">
      <c r="A35">
        <v>2040.81</v>
      </c>
      <c r="C35">
        <v>523</v>
      </c>
      <c r="D35">
        <v>55</v>
      </c>
      <c r="E35">
        <v>34</v>
      </c>
      <c r="F35">
        <v>73</v>
      </c>
      <c r="G35">
        <v>765</v>
      </c>
      <c r="H35">
        <v>306</v>
      </c>
      <c r="I35">
        <v>44</v>
      </c>
      <c r="J35">
        <v>294</v>
      </c>
      <c r="K35">
        <v>141</v>
      </c>
      <c r="L35">
        <v>44</v>
      </c>
      <c r="M35">
        <v>2</v>
      </c>
      <c r="N35">
        <v>12</v>
      </c>
      <c r="O35">
        <f t="shared" si="3"/>
        <v>664</v>
      </c>
      <c r="P35">
        <f t="shared" si="4"/>
        <v>99</v>
      </c>
      <c r="Q35">
        <f t="shared" si="5"/>
        <v>36</v>
      </c>
      <c r="R35">
        <f t="shared" si="6"/>
        <v>85</v>
      </c>
      <c r="S35">
        <f t="shared" si="7"/>
        <v>624</v>
      </c>
      <c r="T35">
        <f t="shared" si="8"/>
        <v>262</v>
      </c>
      <c r="U35">
        <f t="shared" si="9"/>
        <v>42</v>
      </c>
      <c r="V35">
        <f t="shared" si="10"/>
        <v>282</v>
      </c>
      <c r="X35">
        <f t="shared" si="12"/>
        <v>25</v>
      </c>
      <c r="Y35">
        <f t="shared" si="13"/>
        <v>3</v>
      </c>
      <c r="Z35">
        <f t="shared" si="14"/>
        <v>4</v>
      </c>
      <c r="AA35">
        <f t="shared" si="15"/>
        <v>6</v>
      </c>
      <c r="AB35">
        <f t="shared" si="16"/>
        <v>34</v>
      </c>
      <c r="AC35">
        <f t="shared" si="17"/>
        <v>16</v>
      </c>
      <c r="AD35">
        <f t="shared" si="18"/>
        <v>4</v>
      </c>
      <c r="AE35">
        <f t="shared" si="19"/>
        <v>10</v>
      </c>
    </row>
    <row r="36" spans="1:31">
      <c r="A36">
        <v>2100.85</v>
      </c>
      <c r="C36">
        <v>547</v>
      </c>
      <c r="D36">
        <v>58</v>
      </c>
      <c r="E36">
        <v>36</v>
      </c>
      <c r="F36">
        <v>79</v>
      </c>
      <c r="G36">
        <v>803</v>
      </c>
      <c r="H36">
        <v>316</v>
      </c>
      <c r="I36">
        <v>47</v>
      </c>
      <c r="J36">
        <v>317</v>
      </c>
      <c r="K36">
        <v>146</v>
      </c>
      <c r="L36">
        <v>45</v>
      </c>
      <c r="M36">
        <v>2</v>
      </c>
      <c r="N36">
        <v>12</v>
      </c>
      <c r="O36">
        <f t="shared" si="3"/>
        <v>693</v>
      </c>
      <c r="P36">
        <f t="shared" si="4"/>
        <v>103</v>
      </c>
      <c r="Q36">
        <f t="shared" si="5"/>
        <v>38</v>
      </c>
      <c r="R36">
        <f t="shared" si="6"/>
        <v>91</v>
      </c>
      <c r="S36">
        <f t="shared" si="7"/>
        <v>657</v>
      </c>
      <c r="T36">
        <f t="shared" si="8"/>
        <v>271</v>
      </c>
      <c r="U36">
        <f t="shared" si="9"/>
        <v>45</v>
      </c>
      <c r="V36">
        <f t="shared" si="10"/>
        <v>305</v>
      </c>
      <c r="X36">
        <f t="shared" si="12"/>
        <v>29</v>
      </c>
      <c r="Y36">
        <f t="shared" si="13"/>
        <v>4</v>
      </c>
      <c r="Z36">
        <f t="shared" si="14"/>
        <v>2</v>
      </c>
      <c r="AA36">
        <f t="shared" si="15"/>
        <v>6</v>
      </c>
      <c r="AB36">
        <f t="shared" si="16"/>
        <v>33</v>
      </c>
      <c r="AC36">
        <f t="shared" si="17"/>
        <v>9</v>
      </c>
      <c r="AD36">
        <f t="shared" si="18"/>
        <v>3</v>
      </c>
      <c r="AE36">
        <f t="shared" si="19"/>
        <v>23</v>
      </c>
    </row>
    <row r="37" spans="1:31">
      <c r="A37">
        <v>2160.9</v>
      </c>
      <c r="C37">
        <v>573</v>
      </c>
      <c r="D37">
        <v>61</v>
      </c>
      <c r="E37">
        <v>36</v>
      </c>
      <c r="F37">
        <v>82</v>
      </c>
      <c r="G37">
        <v>829</v>
      </c>
      <c r="H37">
        <v>335</v>
      </c>
      <c r="I37">
        <v>48</v>
      </c>
      <c r="J37">
        <v>338</v>
      </c>
      <c r="K37">
        <v>146</v>
      </c>
      <c r="L37">
        <v>47</v>
      </c>
      <c r="M37">
        <v>2</v>
      </c>
      <c r="N37">
        <v>13</v>
      </c>
      <c r="O37">
        <f t="shared" si="3"/>
        <v>719</v>
      </c>
      <c r="P37">
        <f t="shared" si="4"/>
        <v>108</v>
      </c>
      <c r="Q37">
        <f t="shared" si="5"/>
        <v>38</v>
      </c>
      <c r="R37">
        <f t="shared" si="6"/>
        <v>95</v>
      </c>
      <c r="S37">
        <f t="shared" si="7"/>
        <v>683</v>
      </c>
      <c r="T37">
        <f t="shared" si="8"/>
        <v>288</v>
      </c>
      <c r="U37">
        <f t="shared" si="9"/>
        <v>46</v>
      </c>
      <c r="V37">
        <f t="shared" si="10"/>
        <v>325</v>
      </c>
      <c r="X37">
        <f t="shared" si="12"/>
        <v>26</v>
      </c>
      <c r="Y37">
        <f t="shared" si="13"/>
        <v>5</v>
      </c>
      <c r="Z37">
        <f t="shared" si="14"/>
        <v>0</v>
      </c>
      <c r="AA37">
        <f t="shared" si="15"/>
        <v>4</v>
      </c>
      <c r="AB37">
        <f t="shared" si="16"/>
        <v>26</v>
      </c>
      <c r="AC37">
        <f t="shared" si="17"/>
        <v>17</v>
      </c>
      <c r="AD37">
        <f t="shared" si="18"/>
        <v>1</v>
      </c>
      <c r="AE37">
        <f t="shared" si="19"/>
        <v>20</v>
      </c>
    </row>
    <row r="38" spans="1:31">
      <c r="A38">
        <v>2220.94</v>
      </c>
      <c r="C38">
        <v>597</v>
      </c>
      <c r="D38">
        <v>62</v>
      </c>
      <c r="E38">
        <v>36</v>
      </c>
      <c r="F38">
        <v>88</v>
      </c>
      <c r="G38">
        <v>855</v>
      </c>
      <c r="H38">
        <v>359</v>
      </c>
      <c r="I38">
        <v>50</v>
      </c>
      <c r="J38">
        <v>359</v>
      </c>
      <c r="K38">
        <v>151</v>
      </c>
      <c r="L38">
        <v>49</v>
      </c>
      <c r="M38">
        <v>2</v>
      </c>
      <c r="N38">
        <v>13</v>
      </c>
      <c r="O38">
        <f t="shared" si="3"/>
        <v>748</v>
      </c>
      <c r="P38">
        <f t="shared" si="4"/>
        <v>111</v>
      </c>
      <c r="Q38">
        <f t="shared" si="5"/>
        <v>38</v>
      </c>
      <c r="R38">
        <f t="shared" si="6"/>
        <v>101</v>
      </c>
      <c r="S38">
        <f t="shared" si="7"/>
        <v>704</v>
      </c>
      <c r="T38">
        <f t="shared" si="8"/>
        <v>310</v>
      </c>
      <c r="U38">
        <f t="shared" si="9"/>
        <v>48</v>
      </c>
      <c r="V38">
        <f t="shared" si="10"/>
        <v>346</v>
      </c>
      <c r="X38">
        <f t="shared" si="12"/>
        <v>29</v>
      </c>
      <c r="Y38">
        <f t="shared" si="13"/>
        <v>3</v>
      </c>
      <c r="Z38">
        <f t="shared" si="14"/>
        <v>0</v>
      </c>
      <c r="AA38">
        <f t="shared" si="15"/>
        <v>6</v>
      </c>
      <c r="AB38">
        <f t="shared" si="16"/>
        <v>21</v>
      </c>
      <c r="AC38">
        <f t="shared" si="17"/>
        <v>22</v>
      </c>
      <c r="AD38">
        <f t="shared" si="18"/>
        <v>2</v>
      </c>
      <c r="AE38">
        <f t="shared" si="19"/>
        <v>21</v>
      </c>
    </row>
    <row r="39" spans="1:31">
      <c r="A39">
        <v>2280.98</v>
      </c>
      <c r="C39">
        <v>621</v>
      </c>
      <c r="D39">
        <v>66</v>
      </c>
      <c r="E39">
        <v>37</v>
      </c>
      <c r="F39">
        <v>93</v>
      </c>
      <c r="G39">
        <v>892</v>
      </c>
      <c r="H39">
        <v>366</v>
      </c>
      <c r="I39">
        <v>50</v>
      </c>
      <c r="J39">
        <v>376</v>
      </c>
      <c r="K39">
        <v>160</v>
      </c>
      <c r="L39">
        <v>49</v>
      </c>
      <c r="M39">
        <v>2</v>
      </c>
      <c r="N39">
        <v>13</v>
      </c>
      <c r="O39">
        <f t="shared" si="3"/>
        <v>781</v>
      </c>
      <c r="P39">
        <f t="shared" si="4"/>
        <v>115</v>
      </c>
      <c r="Q39">
        <f t="shared" si="5"/>
        <v>39</v>
      </c>
      <c r="R39">
        <f t="shared" si="6"/>
        <v>106</v>
      </c>
      <c r="S39">
        <f t="shared" si="7"/>
        <v>732</v>
      </c>
      <c r="T39">
        <f t="shared" si="8"/>
        <v>317</v>
      </c>
      <c r="U39">
        <f t="shared" si="9"/>
        <v>48</v>
      </c>
      <c r="V39">
        <f t="shared" si="10"/>
        <v>363</v>
      </c>
      <c r="X39">
        <f t="shared" si="12"/>
        <v>33</v>
      </c>
      <c r="Y39">
        <f t="shared" si="13"/>
        <v>4</v>
      </c>
      <c r="Z39">
        <f t="shared" si="14"/>
        <v>1</v>
      </c>
      <c r="AA39">
        <f t="shared" si="15"/>
        <v>5</v>
      </c>
      <c r="AB39">
        <f t="shared" si="16"/>
        <v>28</v>
      </c>
      <c r="AC39">
        <f t="shared" si="17"/>
        <v>7</v>
      </c>
      <c r="AD39">
        <f t="shared" si="18"/>
        <v>0</v>
      </c>
      <c r="AE39">
        <f t="shared" si="19"/>
        <v>17</v>
      </c>
    </row>
    <row r="40" spans="1:31">
      <c r="A40">
        <v>2341.02</v>
      </c>
      <c r="C40">
        <v>645</v>
      </c>
      <c r="D40">
        <v>72</v>
      </c>
      <c r="E40">
        <v>38</v>
      </c>
      <c r="F40">
        <v>98</v>
      </c>
      <c r="G40">
        <v>931</v>
      </c>
      <c r="H40">
        <v>393</v>
      </c>
      <c r="I40">
        <v>52</v>
      </c>
      <c r="J40">
        <v>392</v>
      </c>
      <c r="K40">
        <v>170</v>
      </c>
      <c r="L40">
        <v>56</v>
      </c>
      <c r="M40">
        <v>2</v>
      </c>
      <c r="N40">
        <v>13</v>
      </c>
      <c r="O40">
        <f t="shared" si="3"/>
        <v>815</v>
      </c>
      <c r="P40">
        <f t="shared" si="4"/>
        <v>128</v>
      </c>
      <c r="Q40">
        <f t="shared" si="5"/>
        <v>40</v>
      </c>
      <c r="R40">
        <f t="shared" si="6"/>
        <v>111</v>
      </c>
      <c r="S40">
        <f t="shared" si="7"/>
        <v>761</v>
      </c>
      <c r="T40">
        <f t="shared" si="8"/>
        <v>337</v>
      </c>
      <c r="U40">
        <f t="shared" si="9"/>
        <v>50</v>
      </c>
      <c r="V40">
        <f t="shared" si="10"/>
        <v>379</v>
      </c>
      <c r="X40">
        <f t="shared" si="12"/>
        <v>34</v>
      </c>
      <c r="Y40">
        <f t="shared" si="13"/>
        <v>13</v>
      </c>
      <c r="Z40">
        <f t="shared" si="14"/>
        <v>1</v>
      </c>
      <c r="AA40">
        <f t="shared" si="15"/>
        <v>5</v>
      </c>
      <c r="AB40">
        <f t="shared" si="16"/>
        <v>29</v>
      </c>
      <c r="AC40">
        <f t="shared" si="17"/>
        <v>20</v>
      </c>
      <c r="AD40">
        <f t="shared" si="18"/>
        <v>2</v>
      </c>
      <c r="AE40">
        <f t="shared" si="19"/>
        <v>16</v>
      </c>
    </row>
    <row r="41" spans="1:31">
      <c r="A41">
        <v>2401.06</v>
      </c>
      <c r="C41">
        <v>673</v>
      </c>
      <c r="D41">
        <v>77</v>
      </c>
      <c r="E41">
        <v>39</v>
      </c>
      <c r="F41">
        <v>101</v>
      </c>
      <c r="G41">
        <v>969</v>
      </c>
      <c r="H41">
        <v>401</v>
      </c>
      <c r="I41">
        <v>54</v>
      </c>
      <c r="J41">
        <v>407</v>
      </c>
      <c r="K41">
        <v>177</v>
      </c>
      <c r="L41">
        <v>57</v>
      </c>
      <c r="M41">
        <v>2</v>
      </c>
      <c r="N41">
        <v>14</v>
      </c>
      <c r="O41">
        <f t="shared" si="3"/>
        <v>850</v>
      </c>
      <c r="P41">
        <f t="shared" si="4"/>
        <v>134</v>
      </c>
      <c r="Q41">
        <f t="shared" si="5"/>
        <v>41</v>
      </c>
      <c r="R41">
        <f t="shared" si="6"/>
        <v>115</v>
      </c>
      <c r="S41">
        <f t="shared" si="7"/>
        <v>792</v>
      </c>
      <c r="T41">
        <f t="shared" si="8"/>
        <v>344</v>
      </c>
      <c r="U41">
        <f t="shared" si="9"/>
        <v>52</v>
      </c>
      <c r="V41">
        <f t="shared" si="10"/>
        <v>393</v>
      </c>
      <c r="X41">
        <f t="shared" si="12"/>
        <v>35</v>
      </c>
      <c r="Y41">
        <f t="shared" si="13"/>
        <v>6</v>
      </c>
      <c r="Z41">
        <f t="shared" si="14"/>
        <v>1</v>
      </c>
      <c r="AA41">
        <f t="shared" si="15"/>
        <v>4</v>
      </c>
      <c r="AB41">
        <f t="shared" si="16"/>
        <v>31</v>
      </c>
      <c r="AC41">
        <f t="shared" si="17"/>
        <v>7</v>
      </c>
      <c r="AD41">
        <f t="shared" si="18"/>
        <v>2</v>
      </c>
      <c r="AE41">
        <f t="shared" si="19"/>
        <v>14</v>
      </c>
    </row>
    <row r="42" spans="1:31">
      <c r="A42">
        <v>2461.1</v>
      </c>
      <c r="C42">
        <v>694</v>
      </c>
      <c r="D42">
        <v>81</v>
      </c>
      <c r="E42">
        <v>41</v>
      </c>
      <c r="F42">
        <v>106</v>
      </c>
      <c r="G42">
        <v>999</v>
      </c>
      <c r="H42">
        <v>419</v>
      </c>
      <c r="I42">
        <v>56</v>
      </c>
      <c r="J42">
        <v>422</v>
      </c>
      <c r="K42">
        <v>188</v>
      </c>
      <c r="L42">
        <v>59</v>
      </c>
      <c r="M42">
        <v>2</v>
      </c>
      <c r="N42">
        <v>14</v>
      </c>
      <c r="O42">
        <f t="shared" si="3"/>
        <v>882</v>
      </c>
      <c r="P42">
        <f t="shared" si="4"/>
        <v>140</v>
      </c>
      <c r="Q42">
        <f t="shared" si="5"/>
        <v>43</v>
      </c>
      <c r="R42">
        <f t="shared" si="6"/>
        <v>120</v>
      </c>
      <c r="S42">
        <f t="shared" si="7"/>
        <v>811</v>
      </c>
      <c r="T42">
        <f t="shared" si="8"/>
        <v>360</v>
      </c>
      <c r="U42">
        <f t="shared" si="9"/>
        <v>54</v>
      </c>
      <c r="V42">
        <f t="shared" si="10"/>
        <v>408</v>
      </c>
      <c r="X42">
        <f t="shared" si="12"/>
        <v>32</v>
      </c>
      <c r="Y42">
        <f t="shared" si="13"/>
        <v>6</v>
      </c>
      <c r="Z42">
        <f t="shared" si="14"/>
        <v>2</v>
      </c>
      <c r="AA42">
        <f t="shared" si="15"/>
        <v>5</v>
      </c>
      <c r="AB42">
        <f t="shared" si="16"/>
        <v>19</v>
      </c>
      <c r="AC42">
        <f t="shared" si="17"/>
        <v>16</v>
      </c>
      <c r="AD42">
        <f t="shared" si="18"/>
        <v>2</v>
      </c>
      <c r="AE42">
        <f t="shared" si="19"/>
        <v>15</v>
      </c>
    </row>
    <row r="43" spans="1:31">
      <c r="A43">
        <v>2521.1400000000003</v>
      </c>
      <c r="C43">
        <v>723</v>
      </c>
      <c r="D43">
        <v>85</v>
      </c>
      <c r="E43">
        <v>42</v>
      </c>
      <c r="F43">
        <v>114</v>
      </c>
      <c r="G43">
        <v>1027</v>
      </c>
      <c r="H43">
        <v>428</v>
      </c>
      <c r="I43">
        <v>59</v>
      </c>
      <c r="J43">
        <v>444</v>
      </c>
      <c r="K43">
        <v>192</v>
      </c>
      <c r="L43">
        <v>61</v>
      </c>
      <c r="M43">
        <v>2</v>
      </c>
      <c r="N43">
        <v>16</v>
      </c>
      <c r="O43">
        <f t="shared" si="3"/>
        <v>915</v>
      </c>
      <c r="P43">
        <f t="shared" si="4"/>
        <v>146</v>
      </c>
      <c r="Q43">
        <f t="shared" si="5"/>
        <v>44</v>
      </c>
      <c r="R43">
        <f t="shared" si="6"/>
        <v>130</v>
      </c>
      <c r="S43">
        <f t="shared" si="7"/>
        <v>835</v>
      </c>
      <c r="T43">
        <f t="shared" si="8"/>
        <v>367</v>
      </c>
      <c r="U43">
        <f t="shared" si="9"/>
        <v>57</v>
      </c>
      <c r="V43">
        <f t="shared" si="10"/>
        <v>428</v>
      </c>
      <c r="X43">
        <f t="shared" si="12"/>
        <v>33</v>
      </c>
      <c r="Y43">
        <f t="shared" si="13"/>
        <v>6</v>
      </c>
      <c r="Z43">
        <f t="shared" si="14"/>
        <v>1</v>
      </c>
      <c r="AA43">
        <f t="shared" si="15"/>
        <v>10</v>
      </c>
      <c r="AB43">
        <f t="shared" si="16"/>
        <v>24</v>
      </c>
      <c r="AC43">
        <f t="shared" si="17"/>
        <v>7</v>
      </c>
      <c r="AD43">
        <f t="shared" si="18"/>
        <v>3</v>
      </c>
      <c r="AE43">
        <f t="shared" si="19"/>
        <v>20</v>
      </c>
    </row>
    <row r="44" spans="1:31">
      <c r="A44">
        <v>2581.1800000000003</v>
      </c>
      <c r="C44">
        <v>744</v>
      </c>
      <c r="D44">
        <v>90</v>
      </c>
      <c r="E44">
        <v>43</v>
      </c>
      <c r="F44">
        <v>127</v>
      </c>
      <c r="G44">
        <v>1056</v>
      </c>
      <c r="H44">
        <v>438</v>
      </c>
      <c r="I44">
        <v>60</v>
      </c>
      <c r="J44">
        <v>469</v>
      </c>
      <c r="K44">
        <v>199</v>
      </c>
      <c r="L44">
        <v>63</v>
      </c>
      <c r="M44">
        <v>2</v>
      </c>
      <c r="N44">
        <v>16</v>
      </c>
      <c r="O44">
        <f t="shared" si="3"/>
        <v>943</v>
      </c>
      <c r="P44">
        <f t="shared" si="4"/>
        <v>153</v>
      </c>
      <c r="Q44">
        <f t="shared" si="5"/>
        <v>45</v>
      </c>
      <c r="R44">
        <f t="shared" si="6"/>
        <v>143</v>
      </c>
      <c r="S44">
        <f t="shared" si="7"/>
        <v>857</v>
      </c>
      <c r="T44">
        <f t="shared" si="8"/>
        <v>375</v>
      </c>
      <c r="U44">
        <f t="shared" si="9"/>
        <v>58</v>
      </c>
      <c r="V44">
        <f t="shared" si="10"/>
        <v>453</v>
      </c>
      <c r="X44">
        <f t="shared" si="12"/>
        <v>28</v>
      </c>
      <c r="Y44">
        <f t="shared" si="13"/>
        <v>7</v>
      </c>
      <c r="Z44">
        <f t="shared" si="14"/>
        <v>1</v>
      </c>
      <c r="AA44">
        <f t="shared" si="15"/>
        <v>13</v>
      </c>
      <c r="AB44">
        <f t="shared" si="16"/>
        <v>22</v>
      </c>
      <c r="AC44">
        <f t="shared" si="17"/>
        <v>8</v>
      </c>
      <c r="AD44">
        <f t="shared" si="18"/>
        <v>1</v>
      </c>
      <c r="AE44">
        <f t="shared" si="19"/>
        <v>25</v>
      </c>
    </row>
    <row r="45" spans="1:31">
      <c r="A45">
        <v>2641.2200000000003</v>
      </c>
      <c r="C45">
        <v>770</v>
      </c>
      <c r="D45">
        <v>92</v>
      </c>
      <c r="E45">
        <v>45</v>
      </c>
      <c r="F45">
        <v>132</v>
      </c>
      <c r="G45">
        <v>1095</v>
      </c>
      <c r="H45">
        <v>449</v>
      </c>
      <c r="I45">
        <v>64</v>
      </c>
      <c r="J45">
        <v>488</v>
      </c>
      <c r="K45">
        <v>209</v>
      </c>
      <c r="L45">
        <v>64</v>
      </c>
      <c r="M45">
        <v>2</v>
      </c>
      <c r="N45">
        <v>18</v>
      </c>
      <c r="O45">
        <f t="shared" si="3"/>
        <v>979</v>
      </c>
      <c r="P45">
        <f t="shared" si="4"/>
        <v>156</v>
      </c>
      <c r="Q45">
        <f t="shared" si="5"/>
        <v>47</v>
      </c>
      <c r="R45">
        <f t="shared" si="6"/>
        <v>150</v>
      </c>
      <c r="S45">
        <f t="shared" si="7"/>
        <v>886</v>
      </c>
      <c r="T45">
        <f t="shared" si="8"/>
        <v>385</v>
      </c>
      <c r="U45">
        <f t="shared" si="9"/>
        <v>62</v>
      </c>
      <c r="V45">
        <f t="shared" si="10"/>
        <v>470</v>
      </c>
      <c r="X45">
        <f t="shared" si="12"/>
        <v>36</v>
      </c>
      <c r="Y45">
        <f t="shared" si="13"/>
        <v>3</v>
      </c>
      <c r="Z45">
        <f t="shared" si="14"/>
        <v>2</v>
      </c>
      <c r="AA45">
        <f t="shared" si="15"/>
        <v>7</v>
      </c>
      <c r="AB45">
        <f t="shared" si="16"/>
        <v>29</v>
      </c>
      <c r="AC45">
        <f t="shared" si="17"/>
        <v>10</v>
      </c>
      <c r="AD45">
        <f t="shared" si="18"/>
        <v>4</v>
      </c>
      <c r="AE45">
        <f t="shared" si="19"/>
        <v>17</v>
      </c>
    </row>
    <row r="46" spans="1:31">
      <c r="A46">
        <v>2701.26</v>
      </c>
      <c r="C46">
        <v>786</v>
      </c>
      <c r="D46">
        <v>96</v>
      </c>
      <c r="E46">
        <v>47</v>
      </c>
      <c r="F46">
        <v>142</v>
      </c>
      <c r="G46">
        <v>1129</v>
      </c>
      <c r="H46">
        <v>471</v>
      </c>
      <c r="I46">
        <v>67</v>
      </c>
      <c r="J46">
        <v>510</v>
      </c>
      <c r="K46">
        <v>216</v>
      </c>
      <c r="L46">
        <v>66</v>
      </c>
      <c r="M46">
        <v>2</v>
      </c>
      <c r="N46">
        <v>19</v>
      </c>
      <c r="O46">
        <f t="shared" si="3"/>
        <v>1002</v>
      </c>
      <c r="P46">
        <f t="shared" si="4"/>
        <v>162</v>
      </c>
      <c r="Q46">
        <f t="shared" si="5"/>
        <v>49</v>
      </c>
      <c r="R46">
        <f t="shared" si="6"/>
        <v>161</v>
      </c>
      <c r="S46">
        <f t="shared" si="7"/>
        <v>913</v>
      </c>
      <c r="T46">
        <f t="shared" si="8"/>
        <v>405</v>
      </c>
      <c r="U46">
        <f t="shared" si="9"/>
        <v>65</v>
      </c>
      <c r="V46">
        <f t="shared" si="10"/>
        <v>491</v>
      </c>
      <c r="X46">
        <f t="shared" si="12"/>
        <v>23</v>
      </c>
      <c r="Y46">
        <f t="shared" si="13"/>
        <v>6</v>
      </c>
      <c r="Z46">
        <f t="shared" si="14"/>
        <v>2</v>
      </c>
      <c r="AA46">
        <f t="shared" si="15"/>
        <v>11</v>
      </c>
      <c r="AB46">
        <f t="shared" si="16"/>
        <v>27</v>
      </c>
      <c r="AC46">
        <f t="shared" si="17"/>
        <v>20</v>
      </c>
      <c r="AD46">
        <f t="shared" si="18"/>
        <v>3</v>
      </c>
      <c r="AE46">
        <f t="shared" si="19"/>
        <v>21</v>
      </c>
    </row>
    <row r="47" spans="1:31">
      <c r="A47">
        <v>2761.3</v>
      </c>
      <c r="C47">
        <v>812</v>
      </c>
      <c r="D47">
        <v>97</v>
      </c>
      <c r="E47">
        <v>49</v>
      </c>
      <c r="F47">
        <v>150</v>
      </c>
      <c r="G47">
        <v>1161</v>
      </c>
      <c r="H47">
        <v>484</v>
      </c>
      <c r="I47">
        <v>70</v>
      </c>
      <c r="J47">
        <v>524</v>
      </c>
      <c r="K47">
        <v>222</v>
      </c>
      <c r="L47">
        <v>67</v>
      </c>
      <c r="M47">
        <v>2</v>
      </c>
      <c r="N47">
        <v>19</v>
      </c>
      <c r="O47">
        <f t="shared" si="3"/>
        <v>1034</v>
      </c>
      <c r="P47">
        <f t="shared" si="4"/>
        <v>164</v>
      </c>
      <c r="Q47">
        <f t="shared" si="5"/>
        <v>51</v>
      </c>
      <c r="R47">
        <f t="shared" si="6"/>
        <v>169</v>
      </c>
      <c r="S47">
        <f t="shared" si="7"/>
        <v>939</v>
      </c>
      <c r="T47">
        <f t="shared" si="8"/>
        <v>417</v>
      </c>
      <c r="U47">
        <f t="shared" si="9"/>
        <v>68</v>
      </c>
      <c r="V47">
        <f t="shared" si="10"/>
        <v>505</v>
      </c>
      <c r="X47">
        <f t="shared" si="12"/>
        <v>32</v>
      </c>
      <c r="Y47">
        <f t="shared" si="13"/>
        <v>2</v>
      </c>
      <c r="Z47">
        <f t="shared" si="14"/>
        <v>2</v>
      </c>
      <c r="AA47">
        <f t="shared" si="15"/>
        <v>8</v>
      </c>
      <c r="AB47">
        <f t="shared" si="16"/>
        <v>26</v>
      </c>
      <c r="AC47">
        <f t="shared" si="17"/>
        <v>12</v>
      </c>
      <c r="AD47">
        <f t="shared" si="18"/>
        <v>3</v>
      </c>
      <c r="AE47">
        <f t="shared" si="19"/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Leong Sio Kuan</cp:lastModifiedBy>
  <cp:revision/>
  <dcterms:created xsi:type="dcterms:W3CDTF">2026-03-24T18:46:16Z</dcterms:created>
  <dcterms:modified xsi:type="dcterms:W3CDTF">2026-03-30T20:11:38Z</dcterms:modified>
  <cp:category/>
  <cp:contentStatus/>
</cp:coreProperties>
</file>