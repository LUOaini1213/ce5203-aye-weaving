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xr:revisionPtr revIDLastSave="27" documentId="11_9F7E9F750ED83876493CA5C2FECDBDCEB0593E06" xr6:coauthVersionLast="47" xr6:coauthVersionMax="47" xr10:uidLastSave="{78E71C15-3F1C-4E68-8525-AC5DC254CF2E}"/>
  <bookViews>
    <workbookView xWindow="180" yWindow="120" windowWidth="21293" windowHeight="8453" xr2:uid="{00000000-000D-0000-FFFF-FFFF00000000}"/>
  </bookViews>
  <sheets>
    <sheet name="Results_off peak" sheetId="2" r:id="rId1"/>
    <sheet name="Calculations_off peak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4" i="2" l="1"/>
  <c r="N65" i="2"/>
  <c r="K64" i="2"/>
  <c r="R64" i="2" s="1"/>
  <c r="K65" i="2"/>
  <c r="R65" i="2" s="1"/>
  <c r="P62" i="1"/>
  <c r="Q62" i="1"/>
  <c r="Z62" i="1" s="1"/>
  <c r="R62" i="1"/>
  <c r="AA62" i="1" s="1"/>
  <c r="S62" i="1"/>
  <c r="AB62" i="1" s="1"/>
  <c r="T62" i="1"/>
  <c r="AC62" i="1" s="1"/>
  <c r="U62" i="1"/>
  <c r="AD62" i="1" s="1"/>
  <c r="V62" i="1"/>
  <c r="AE62" i="1" s="1"/>
  <c r="W62" i="1"/>
  <c r="AF62" i="1" s="1"/>
  <c r="Y62" i="1"/>
  <c r="P63" i="1"/>
  <c r="Q63" i="1"/>
  <c r="Z63" i="1" s="1"/>
  <c r="R63" i="1"/>
  <c r="AA63" i="1" s="1"/>
  <c r="S63" i="1"/>
  <c r="AB63" i="1" s="1"/>
  <c r="T63" i="1"/>
  <c r="AC63" i="1" s="1"/>
  <c r="U63" i="1"/>
  <c r="AD63" i="1" s="1"/>
  <c r="V63" i="1"/>
  <c r="AE63" i="1" s="1"/>
  <c r="W63" i="1"/>
  <c r="AF63" i="1" s="1"/>
  <c r="Y63" i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4" i="2"/>
  <c r="N1" i="2" s="1"/>
  <c r="K5" i="2"/>
  <c r="R5" i="2" s="1"/>
  <c r="K6" i="2"/>
  <c r="R6" i="2" s="1"/>
  <c r="K7" i="2"/>
  <c r="R7" i="2" s="1"/>
  <c r="K8" i="2"/>
  <c r="R8" i="2" s="1"/>
  <c r="K9" i="2"/>
  <c r="R9" i="2" s="1"/>
  <c r="K10" i="2"/>
  <c r="R10" i="2" s="1"/>
  <c r="K11" i="2"/>
  <c r="R11" i="2" s="1"/>
  <c r="K12" i="2"/>
  <c r="R12" i="2" s="1"/>
  <c r="K13" i="2"/>
  <c r="R13" i="2" s="1"/>
  <c r="K14" i="2"/>
  <c r="R14" i="2" s="1"/>
  <c r="K15" i="2"/>
  <c r="R15" i="2" s="1"/>
  <c r="K16" i="2"/>
  <c r="R16" i="2" s="1"/>
  <c r="K17" i="2"/>
  <c r="R17" i="2" s="1"/>
  <c r="K18" i="2"/>
  <c r="R18" i="2" s="1"/>
  <c r="K19" i="2"/>
  <c r="R19" i="2" s="1"/>
  <c r="K20" i="2"/>
  <c r="R20" i="2" s="1"/>
  <c r="K21" i="2"/>
  <c r="R21" i="2" s="1"/>
  <c r="K22" i="2"/>
  <c r="R22" i="2" s="1"/>
  <c r="K23" i="2"/>
  <c r="R23" i="2" s="1"/>
  <c r="K24" i="2"/>
  <c r="R24" i="2" s="1"/>
  <c r="K25" i="2"/>
  <c r="R25" i="2" s="1"/>
  <c r="K26" i="2"/>
  <c r="R26" i="2" s="1"/>
  <c r="K27" i="2"/>
  <c r="R27" i="2" s="1"/>
  <c r="K29" i="2"/>
  <c r="R29" i="2" s="1"/>
  <c r="K30" i="2"/>
  <c r="R30" i="2" s="1"/>
  <c r="K31" i="2"/>
  <c r="R31" i="2" s="1"/>
  <c r="K32" i="2"/>
  <c r="R32" i="2" s="1"/>
  <c r="K33" i="2"/>
  <c r="R33" i="2" s="1"/>
  <c r="K34" i="2"/>
  <c r="R34" i="2" s="1"/>
  <c r="K35" i="2"/>
  <c r="R35" i="2" s="1"/>
  <c r="K36" i="2"/>
  <c r="R36" i="2" s="1"/>
  <c r="K37" i="2"/>
  <c r="R37" i="2" s="1"/>
  <c r="K38" i="2"/>
  <c r="R38" i="2" s="1"/>
  <c r="K39" i="2"/>
  <c r="R39" i="2" s="1"/>
  <c r="K40" i="2"/>
  <c r="R40" i="2" s="1"/>
  <c r="K41" i="2"/>
  <c r="R41" i="2" s="1"/>
  <c r="K42" i="2"/>
  <c r="R42" i="2" s="1"/>
  <c r="K43" i="2"/>
  <c r="R43" i="2" s="1"/>
  <c r="K44" i="2"/>
  <c r="R44" i="2" s="1"/>
  <c r="K45" i="2"/>
  <c r="R45" i="2" s="1"/>
  <c r="K46" i="2"/>
  <c r="R46" i="2" s="1"/>
  <c r="K47" i="2"/>
  <c r="R47" i="2" s="1"/>
  <c r="K48" i="2"/>
  <c r="R48" i="2" s="1"/>
  <c r="K49" i="2"/>
  <c r="R49" i="2" s="1"/>
  <c r="K50" i="2"/>
  <c r="R50" i="2" s="1"/>
  <c r="K51" i="2"/>
  <c r="R51" i="2" s="1"/>
  <c r="K52" i="2"/>
  <c r="R52" i="2" s="1"/>
  <c r="K53" i="2"/>
  <c r="R53" i="2" s="1"/>
  <c r="K54" i="2"/>
  <c r="R54" i="2" s="1"/>
  <c r="K55" i="2"/>
  <c r="R55" i="2" s="1"/>
  <c r="K56" i="2"/>
  <c r="R56" i="2" s="1"/>
  <c r="K57" i="2"/>
  <c r="R57" i="2" s="1"/>
  <c r="K58" i="2"/>
  <c r="R58" i="2" s="1"/>
  <c r="K59" i="2"/>
  <c r="R59" i="2" s="1"/>
  <c r="K60" i="2"/>
  <c r="R60" i="2" s="1"/>
  <c r="K61" i="2"/>
  <c r="R61" i="2" s="1"/>
  <c r="K62" i="2"/>
  <c r="R62" i="2" s="1"/>
  <c r="K4" i="2"/>
  <c r="P3" i="1"/>
  <c r="Q3" i="1"/>
  <c r="R3" i="1"/>
  <c r="S3" i="1"/>
  <c r="T3" i="1"/>
  <c r="U3" i="1"/>
  <c r="V3" i="1"/>
  <c r="W3" i="1"/>
  <c r="P4" i="1"/>
  <c r="Y4" i="1" s="1"/>
  <c r="Q4" i="1"/>
  <c r="Z4" i="1" s="1"/>
  <c r="R4" i="1"/>
  <c r="AA4" i="1" s="1"/>
  <c r="S4" i="1"/>
  <c r="AB4" i="1" s="1"/>
  <c r="T4" i="1"/>
  <c r="AC4" i="1" s="1"/>
  <c r="U4" i="1"/>
  <c r="AD4" i="1" s="1"/>
  <c r="V4" i="1"/>
  <c r="AE4" i="1" s="1"/>
  <c r="W4" i="1"/>
  <c r="AF4" i="1" s="1"/>
  <c r="P5" i="1"/>
  <c r="Y5" i="1" s="1"/>
  <c r="Q5" i="1"/>
  <c r="Z5" i="1" s="1"/>
  <c r="R5" i="1"/>
  <c r="AA5" i="1" s="1"/>
  <c r="S5" i="1"/>
  <c r="AB5" i="1" s="1"/>
  <c r="T5" i="1"/>
  <c r="AC5" i="1" s="1"/>
  <c r="U5" i="1"/>
  <c r="AD5" i="1" s="1"/>
  <c r="V5" i="1"/>
  <c r="AE5" i="1" s="1"/>
  <c r="W5" i="1"/>
  <c r="AF5" i="1" s="1"/>
  <c r="P6" i="1"/>
  <c r="Y6" i="1" s="1"/>
  <c r="Q6" i="1"/>
  <c r="Z6" i="1" s="1"/>
  <c r="R6" i="1"/>
  <c r="AA6" i="1" s="1"/>
  <c r="S6" i="1"/>
  <c r="AB6" i="1" s="1"/>
  <c r="T6" i="1"/>
  <c r="AC6" i="1" s="1"/>
  <c r="U6" i="1"/>
  <c r="AD6" i="1" s="1"/>
  <c r="V6" i="1"/>
  <c r="AE6" i="1" s="1"/>
  <c r="W6" i="1"/>
  <c r="AF6" i="1" s="1"/>
  <c r="P7" i="1"/>
  <c r="Y7" i="1" s="1"/>
  <c r="Q7" i="1"/>
  <c r="Z7" i="1" s="1"/>
  <c r="R7" i="1"/>
  <c r="AA7" i="1" s="1"/>
  <c r="S7" i="1"/>
  <c r="AB7" i="1" s="1"/>
  <c r="T7" i="1"/>
  <c r="AC7" i="1" s="1"/>
  <c r="U7" i="1"/>
  <c r="AD7" i="1" s="1"/>
  <c r="V7" i="1"/>
  <c r="AE7" i="1" s="1"/>
  <c r="W7" i="1"/>
  <c r="AF7" i="1" s="1"/>
  <c r="P8" i="1"/>
  <c r="Y8" i="1" s="1"/>
  <c r="Q8" i="1"/>
  <c r="Z8" i="1" s="1"/>
  <c r="R8" i="1"/>
  <c r="AA8" i="1" s="1"/>
  <c r="S8" i="1"/>
  <c r="AB8" i="1" s="1"/>
  <c r="T8" i="1"/>
  <c r="AC8" i="1" s="1"/>
  <c r="U8" i="1"/>
  <c r="AD8" i="1" s="1"/>
  <c r="V8" i="1"/>
  <c r="AE8" i="1" s="1"/>
  <c r="W8" i="1"/>
  <c r="AF8" i="1" s="1"/>
  <c r="P9" i="1"/>
  <c r="Y9" i="1" s="1"/>
  <c r="Q9" i="1"/>
  <c r="Z9" i="1" s="1"/>
  <c r="R9" i="1"/>
  <c r="AA9" i="1" s="1"/>
  <c r="S9" i="1"/>
  <c r="AB9" i="1" s="1"/>
  <c r="T9" i="1"/>
  <c r="AC9" i="1" s="1"/>
  <c r="U9" i="1"/>
  <c r="AD9" i="1" s="1"/>
  <c r="V9" i="1"/>
  <c r="AE9" i="1" s="1"/>
  <c r="W9" i="1"/>
  <c r="AF9" i="1" s="1"/>
  <c r="P10" i="1"/>
  <c r="Y10" i="1" s="1"/>
  <c r="Q10" i="1"/>
  <c r="Z10" i="1" s="1"/>
  <c r="R10" i="1"/>
  <c r="AA10" i="1" s="1"/>
  <c r="S10" i="1"/>
  <c r="AB10" i="1" s="1"/>
  <c r="T10" i="1"/>
  <c r="AC10" i="1" s="1"/>
  <c r="U10" i="1"/>
  <c r="AD10" i="1" s="1"/>
  <c r="V10" i="1"/>
  <c r="AE10" i="1" s="1"/>
  <c r="W10" i="1"/>
  <c r="AF10" i="1" s="1"/>
  <c r="P11" i="1"/>
  <c r="Y11" i="1" s="1"/>
  <c r="Q11" i="1"/>
  <c r="Z11" i="1" s="1"/>
  <c r="R11" i="1"/>
  <c r="AA11" i="1" s="1"/>
  <c r="S11" i="1"/>
  <c r="AB11" i="1" s="1"/>
  <c r="T11" i="1"/>
  <c r="AC11" i="1" s="1"/>
  <c r="U11" i="1"/>
  <c r="AD11" i="1" s="1"/>
  <c r="V11" i="1"/>
  <c r="AE11" i="1" s="1"/>
  <c r="W11" i="1"/>
  <c r="AF11" i="1" s="1"/>
  <c r="P12" i="1"/>
  <c r="Y12" i="1" s="1"/>
  <c r="Q12" i="1"/>
  <c r="Z12" i="1" s="1"/>
  <c r="R12" i="1"/>
  <c r="AA12" i="1" s="1"/>
  <c r="S12" i="1"/>
  <c r="AB12" i="1" s="1"/>
  <c r="T12" i="1"/>
  <c r="AC12" i="1" s="1"/>
  <c r="U12" i="1"/>
  <c r="AD12" i="1" s="1"/>
  <c r="V12" i="1"/>
  <c r="AE12" i="1" s="1"/>
  <c r="W12" i="1"/>
  <c r="AF12" i="1" s="1"/>
  <c r="P13" i="1"/>
  <c r="Y13" i="1" s="1"/>
  <c r="Q13" i="1"/>
  <c r="Z13" i="1" s="1"/>
  <c r="R13" i="1"/>
  <c r="AA13" i="1" s="1"/>
  <c r="S13" i="1"/>
  <c r="AB13" i="1" s="1"/>
  <c r="T13" i="1"/>
  <c r="AC13" i="1" s="1"/>
  <c r="U13" i="1"/>
  <c r="AD13" i="1" s="1"/>
  <c r="V13" i="1"/>
  <c r="AE13" i="1" s="1"/>
  <c r="W13" i="1"/>
  <c r="AF13" i="1" s="1"/>
  <c r="P14" i="1"/>
  <c r="Y14" i="1" s="1"/>
  <c r="Q14" i="1"/>
  <c r="Z14" i="1" s="1"/>
  <c r="R14" i="1"/>
  <c r="AA14" i="1" s="1"/>
  <c r="S14" i="1"/>
  <c r="AB14" i="1" s="1"/>
  <c r="T14" i="1"/>
  <c r="AC14" i="1" s="1"/>
  <c r="U14" i="1"/>
  <c r="AD14" i="1" s="1"/>
  <c r="V14" i="1"/>
  <c r="AE14" i="1" s="1"/>
  <c r="W14" i="1"/>
  <c r="AF14" i="1" s="1"/>
  <c r="P15" i="1"/>
  <c r="Y15" i="1" s="1"/>
  <c r="Q15" i="1"/>
  <c r="Z15" i="1" s="1"/>
  <c r="R15" i="1"/>
  <c r="AA15" i="1" s="1"/>
  <c r="S15" i="1"/>
  <c r="AB15" i="1" s="1"/>
  <c r="T15" i="1"/>
  <c r="AC15" i="1" s="1"/>
  <c r="U15" i="1"/>
  <c r="AD15" i="1" s="1"/>
  <c r="V15" i="1"/>
  <c r="AE15" i="1" s="1"/>
  <c r="W15" i="1"/>
  <c r="AF15" i="1" s="1"/>
  <c r="P16" i="1"/>
  <c r="Y16" i="1" s="1"/>
  <c r="Q16" i="1"/>
  <c r="Z16" i="1" s="1"/>
  <c r="R16" i="1"/>
  <c r="AA16" i="1" s="1"/>
  <c r="S16" i="1"/>
  <c r="AB16" i="1" s="1"/>
  <c r="T16" i="1"/>
  <c r="AC16" i="1" s="1"/>
  <c r="U16" i="1"/>
  <c r="AD16" i="1" s="1"/>
  <c r="V16" i="1"/>
  <c r="AE16" i="1" s="1"/>
  <c r="W16" i="1"/>
  <c r="AF16" i="1" s="1"/>
  <c r="P17" i="1"/>
  <c r="Y17" i="1" s="1"/>
  <c r="Q17" i="1"/>
  <c r="Z17" i="1" s="1"/>
  <c r="R17" i="1"/>
  <c r="AA17" i="1" s="1"/>
  <c r="S17" i="1"/>
  <c r="AB17" i="1" s="1"/>
  <c r="T17" i="1"/>
  <c r="AC17" i="1" s="1"/>
  <c r="U17" i="1"/>
  <c r="AD17" i="1" s="1"/>
  <c r="V17" i="1"/>
  <c r="AE17" i="1" s="1"/>
  <c r="W17" i="1"/>
  <c r="AF17" i="1" s="1"/>
  <c r="P18" i="1"/>
  <c r="Y18" i="1" s="1"/>
  <c r="Q18" i="1"/>
  <c r="Z18" i="1" s="1"/>
  <c r="R18" i="1"/>
  <c r="AA18" i="1" s="1"/>
  <c r="S18" i="1"/>
  <c r="AB18" i="1" s="1"/>
  <c r="T18" i="1"/>
  <c r="AC18" i="1" s="1"/>
  <c r="U18" i="1"/>
  <c r="AD18" i="1" s="1"/>
  <c r="V18" i="1"/>
  <c r="AE18" i="1" s="1"/>
  <c r="W18" i="1"/>
  <c r="AF18" i="1" s="1"/>
  <c r="P19" i="1"/>
  <c r="Y19" i="1" s="1"/>
  <c r="Q19" i="1"/>
  <c r="Z19" i="1" s="1"/>
  <c r="R19" i="1"/>
  <c r="AA19" i="1" s="1"/>
  <c r="S19" i="1"/>
  <c r="AB19" i="1" s="1"/>
  <c r="T19" i="1"/>
  <c r="AC19" i="1" s="1"/>
  <c r="U19" i="1"/>
  <c r="AD19" i="1" s="1"/>
  <c r="V19" i="1"/>
  <c r="AE19" i="1" s="1"/>
  <c r="W19" i="1"/>
  <c r="AF19" i="1" s="1"/>
  <c r="P20" i="1"/>
  <c r="Y20" i="1" s="1"/>
  <c r="Q20" i="1"/>
  <c r="Z20" i="1" s="1"/>
  <c r="R20" i="1"/>
  <c r="AA20" i="1" s="1"/>
  <c r="S20" i="1"/>
  <c r="AB20" i="1" s="1"/>
  <c r="T20" i="1"/>
  <c r="AC20" i="1" s="1"/>
  <c r="U20" i="1"/>
  <c r="AD20" i="1" s="1"/>
  <c r="V20" i="1"/>
  <c r="AE20" i="1" s="1"/>
  <c r="W20" i="1"/>
  <c r="AF20" i="1" s="1"/>
  <c r="P21" i="1"/>
  <c r="Y21" i="1" s="1"/>
  <c r="Q21" i="1"/>
  <c r="Z21" i="1" s="1"/>
  <c r="R21" i="1"/>
  <c r="AA21" i="1" s="1"/>
  <c r="S21" i="1"/>
  <c r="AB21" i="1" s="1"/>
  <c r="T21" i="1"/>
  <c r="AC21" i="1" s="1"/>
  <c r="U21" i="1"/>
  <c r="AD21" i="1" s="1"/>
  <c r="V21" i="1"/>
  <c r="AE21" i="1" s="1"/>
  <c r="W21" i="1"/>
  <c r="AF21" i="1" s="1"/>
  <c r="P22" i="1"/>
  <c r="Y22" i="1" s="1"/>
  <c r="Q22" i="1"/>
  <c r="Z22" i="1" s="1"/>
  <c r="R22" i="1"/>
  <c r="AA22" i="1" s="1"/>
  <c r="S22" i="1"/>
  <c r="AB22" i="1" s="1"/>
  <c r="T22" i="1"/>
  <c r="AC22" i="1" s="1"/>
  <c r="U22" i="1"/>
  <c r="AD22" i="1" s="1"/>
  <c r="V22" i="1"/>
  <c r="AE22" i="1" s="1"/>
  <c r="W22" i="1"/>
  <c r="AF22" i="1" s="1"/>
  <c r="P23" i="1"/>
  <c r="Y23" i="1" s="1"/>
  <c r="Q23" i="1"/>
  <c r="Z23" i="1" s="1"/>
  <c r="R23" i="1"/>
  <c r="AA23" i="1" s="1"/>
  <c r="S23" i="1"/>
  <c r="AB23" i="1" s="1"/>
  <c r="T23" i="1"/>
  <c r="AC23" i="1" s="1"/>
  <c r="U23" i="1"/>
  <c r="AD23" i="1" s="1"/>
  <c r="V23" i="1"/>
  <c r="AE23" i="1" s="1"/>
  <c r="W23" i="1"/>
  <c r="AF23" i="1" s="1"/>
  <c r="P24" i="1"/>
  <c r="Y24" i="1" s="1"/>
  <c r="Q24" i="1"/>
  <c r="Z24" i="1" s="1"/>
  <c r="R24" i="1"/>
  <c r="AA24" i="1" s="1"/>
  <c r="S24" i="1"/>
  <c r="AB24" i="1" s="1"/>
  <c r="T24" i="1"/>
  <c r="AC24" i="1" s="1"/>
  <c r="U24" i="1"/>
  <c r="AD24" i="1" s="1"/>
  <c r="V24" i="1"/>
  <c r="AE24" i="1" s="1"/>
  <c r="W24" i="1"/>
  <c r="AF24" i="1" s="1"/>
  <c r="P25" i="1"/>
  <c r="Y25" i="1" s="1"/>
  <c r="Q25" i="1"/>
  <c r="Z25" i="1" s="1"/>
  <c r="R25" i="1"/>
  <c r="AA25" i="1" s="1"/>
  <c r="S25" i="1"/>
  <c r="AB25" i="1" s="1"/>
  <c r="T25" i="1"/>
  <c r="AC25" i="1" s="1"/>
  <c r="U25" i="1"/>
  <c r="AD25" i="1" s="1"/>
  <c r="V25" i="1"/>
  <c r="AE25" i="1" s="1"/>
  <c r="W25" i="1"/>
  <c r="AF25" i="1" s="1"/>
  <c r="P27" i="1"/>
  <c r="Y27" i="1" s="1"/>
  <c r="Q27" i="1"/>
  <c r="Z27" i="1" s="1"/>
  <c r="R27" i="1"/>
  <c r="AA27" i="1" s="1"/>
  <c r="S27" i="1"/>
  <c r="AB27" i="1" s="1"/>
  <c r="T27" i="1"/>
  <c r="AC27" i="1" s="1"/>
  <c r="U27" i="1"/>
  <c r="AD27" i="1" s="1"/>
  <c r="V27" i="1"/>
  <c r="AE27" i="1" s="1"/>
  <c r="W27" i="1"/>
  <c r="AF27" i="1" s="1"/>
  <c r="P28" i="1"/>
  <c r="Y28" i="1" s="1"/>
  <c r="Q28" i="1"/>
  <c r="Z28" i="1" s="1"/>
  <c r="R28" i="1"/>
  <c r="AA28" i="1" s="1"/>
  <c r="S28" i="1"/>
  <c r="AB28" i="1" s="1"/>
  <c r="T28" i="1"/>
  <c r="AC28" i="1" s="1"/>
  <c r="U28" i="1"/>
  <c r="AD28" i="1" s="1"/>
  <c r="V28" i="1"/>
  <c r="AE28" i="1" s="1"/>
  <c r="W28" i="1"/>
  <c r="AF28" i="1" s="1"/>
  <c r="P29" i="1"/>
  <c r="Y29" i="1" s="1"/>
  <c r="Q29" i="1"/>
  <c r="Z29" i="1" s="1"/>
  <c r="R29" i="1"/>
  <c r="AA29" i="1" s="1"/>
  <c r="S29" i="1"/>
  <c r="AB29" i="1" s="1"/>
  <c r="T29" i="1"/>
  <c r="AC29" i="1" s="1"/>
  <c r="U29" i="1"/>
  <c r="AD29" i="1" s="1"/>
  <c r="V29" i="1"/>
  <c r="AE29" i="1" s="1"/>
  <c r="W29" i="1"/>
  <c r="AF29" i="1" s="1"/>
  <c r="P30" i="1"/>
  <c r="Y30" i="1" s="1"/>
  <c r="Q30" i="1"/>
  <c r="Z30" i="1" s="1"/>
  <c r="R30" i="1"/>
  <c r="AA30" i="1" s="1"/>
  <c r="S30" i="1"/>
  <c r="AB30" i="1" s="1"/>
  <c r="T30" i="1"/>
  <c r="AC30" i="1" s="1"/>
  <c r="U30" i="1"/>
  <c r="AD30" i="1" s="1"/>
  <c r="V30" i="1"/>
  <c r="AE30" i="1" s="1"/>
  <c r="W30" i="1"/>
  <c r="AF30" i="1" s="1"/>
  <c r="P31" i="1"/>
  <c r="Y31" i="1" s="1"/>
  <c r="Q31" i="1"/>
  <c r="Z31" i="1" s="1"/>
  <c r="R31" i="1"/>
  <c r="AA31" i="1" s="1"/>
  <c r="S31" i="1"/>
  <c r="AB31" i="1" s="1"/>
  <c r="T31" i="1"/>
  <c r="AC31" i="1" s="1"/>
  <c r="U31" i="1"/>
  <c r="AD31" i="1" s="1"/>
  <c r="V31" i="1"/>
  <c r="AE31" i="1" s="1"/>
  <c r="W31" i="1"/>
  <c r="AF31" i="1" s="1"/>
  <c r="P32" i="1"/>
  <c r="Y32" i="1" s="1"/>
  <c r="Q32" i="1"/>
  <c r="Z32" i="1" s="1"/>
  <c r="R32" i="1"/>
  <c r="AA32" i="1" s="1"/>
  <c r="S32" i="1"/>
  <c r="AB32" i="1" s="1"/>
  <c r="T32" i="1"/>
  <c r="AC32" i="1" s="1"/>
  <c r="U32" i="1"/>
  <c r="AD32" i="1" s="1"/>
  <c r="V32" i="1"/>
  <c r="AE32" i="1" s="1"/>
  <c r="W32" i="1"/>
  <c r="AF32" i="1" s="1"/>
  <c r="P33" i="1"/>
  <c r="Y33" i="1" s="1"/>
  <c r="Q33" i="1"/>
  <c r="Z33" i="1" s="1"/>
  <c r="R33" i="1"/>
  <c r="AA33" i="1" s="1"/>
  <c r="S33" i="1"/>
  <c r="AB33" i="1" s="1"/>
  <c r="T33" i="1"/>
  <c r="AC33" i="1" s="1"/>
  <c r="U33" i="1"/>
  <c r="AD33" i="1" s="1"/>
  <c r="V33" i="1"/>
  <c r="AE33" i="1" s="1"/>
  <c r="W33" i="1"/>
  <c r="AF33" i="1" s="1"/>
  <c r="P34" i="1"/>
  <c r="Y34" i="1" s="1"/>
  <c r="Q34" i="1"/>
  <c r="Z34" i="1" s="1"/>
  <c r="R34" i="1"/>
  <c r="AA34" i="1" s="1"/>
  <c r="S34" i="1"/>
  <c r="AB34" i="1" s="1"/>
  <c r="T34" i="1"/>
  <c r="AC34" i="1" s="1"/>
  <c r="U34" i="1"/>
  <c r="AD34" i="1" s="1"/>
  <c r="V34" i="1"/>
  <c r="AE34" i="1" s="1"/>
  <c r="W34" i="1"/>
  <c r="AF34" i="1" s="1"/>
  <c r="P35" i="1"/>
  <c r="Y35" i="1" s="1"/>
  <c r="Q35" i="1"/>
  <c r="Z35" i="1" s="1"/>
  <c r="R35" i="1"/>
  <c r="AA35" i="1" s="1"/>
  <c r="S35" i="1"/>
  <c r="AB35" i="1" s="1"/>
  <c r="T35" i="1"/>
  <c r="AC35" i="1" s="1"/>
  <c r="U35" i="1"/>
  <c r="AD35" i="1" s="1"/>
  <c r="V35" i="1"/>
  <c r="AE35" i="1" s="1"/>
  <c r="W35" i="1"/>
  <c r="AF35" i="1" s="1"/>
  <c r="P36" i="1"/>
  <c r="Y36" i="1" s="1"/>
  <c r="Q36" i="1"/>
  <c r="Z36" i="1" s="1"/>
  <c r="R36" i="1"/>
  <c r="AA36" i="1" s="1"/>
  <c r="S36" i="1"/>
  <c r="AB36" i="1" s="1"/>
  <c r="T36" i="1"/>
  <c r="AC36" i="1" s="1"/>
  <c r="U36" i="1"/>
  <c r="AD36" i="1" s="1"/>
  <c r="V36" i="1"/>
  <c r="AE36" i="1" s="1"/>
  <c r="W36" i="1"/>
  <c r="AF36" i="1" s="1"/>
  <c r="P37" i="1"/>
  <c r="Y37" i="1" s="1"/>
  <c r="Q37" i="1"/>
  <c r="Z37" i="1" s="1"/>
  <c r="R37" i="1"/>
  <c r="AA37" i="1" s="1"/>
  <c r="S37" i="1"/>
  <c r="AB37" i="1" s="1"/>
  <c r="T37" i="1"/>
  <c r="AC37" i="1" s="1"/>
  <c r="U37" i="1"/>
  <c r="AD37" i="1" s="1"/>
  <c r="V37" i="1"/>
  <c r="AE37" i="1" s="1"/>
  <c r="W37" i="1"/>
  <c r="AF37" i="1" s="1"/>
  <c r="P38" i="1"/>
  <c r="Y38" i="1" s="1"/>
  <c r="Q38" i="1"/>
  <c r="Z38" i="1" s="1"/>
  <c r="R38" i="1"/>
  <c r="AA38" i="1" s="1"/>
  <c r="S38" i="1"/>
  <c r="AB38" i="1" s="1"/>
  <c r="T38" i="1"/>
  <c r="AC38" i="1" s="1"/>
  <c r="U38" i="1"/>
  <c r="AD38" i="1" s="1"/>
  <c r="V38" i="1"/>
  <c r="AE38" i="1" s="1"/>
  <c r="W38" i="1"/>
  <c r="AF38" i="1" s="1"/>
  <c r="P39" i="1"/>
  <c r="Y39" i="1" s="1"/>
  <c r="Q39" i="1"/>
  <c r="Z39" i="1" s="1"/>
  <c r="R39" i="1"/>
  <c r="AA39" i="1" s="1"/>
  <c r="S39" i="1"/>
  <c r="AB39" i="1" s="1"/>
  <c r="T39" i="1"/>
  <c r="AC39" i="1" s="1"/>
  <c r="U39" i="1"/>
  <c r="AD39" i="1" s="1"/>
  <c r="V39" i="1"/>
  <c r="AE39" i="1" s="1"/>
  <c r="W39" i="1"/>
  <c r="AF39" i="1" s="1"/>
  <c r="P40" i="1"/>
  <c r="Y40" i="1" s="1"/>
  <c r="Q40" i="1"/>
  <c r="Z40" i="1" s="1"/>
  <c r="R40" i="1"/>
  <c r="AA40" i="1" s="1"/>
  <c r="S40" i="1"/>
  <c r="AB40" i="1" s="1"/>
  <c r="T40" i="1"/>
  <c r="AC40" i="1" s="1"/>
  <c r="U40" i="1"/>
  <c r="AD40" i="1" s="1"/>
  <c r="V40" i="1"/>
  <c r="AE40" i="1" s="1"/>
  <c r="W40" i="1"/>
  <c r="AF40" i="1" s="1"/>
  <c r="P41" i="1"/>
  <c r="Y41" i="1" s="1"/>
  <c r="Q41" i="1"/>
  <c r="Z41" i="1" s="1"/>
  <c r="R41" i="1"/>
  <c r="AA41" i="1" s="1"/>
  <c r="S41" i="1"/>
  <c r="AB41" i="1" s="1"/>
  <c r="T41" i="1"/>
  <c r="AC41" i="1" s="1"/>
  <c r="U41" i="1"/>
  <c r="AD41" i="1" s="1"/>
  <c r="V41" i="1"/>
  <c r="AE41" i="1" s="1"/>
  <c r="W41" i="1"/>
  <c r="AF41" i="1" s="1"/>
  <c r="P42" i="1"/>
  <c r="Y42" i="1" s="1"/>
  <c r="Q42" i="1"/>
  <c r="Z42" i="1" s="1"/>
  <c r="R42" i="1"/>
  <c r="AA42" i="1" s="1"/>
  <c r="S42" i="1"/>
  <c r="AB42" i="1" s="1"/>
  <c r="T42" i="1"/>
  <c r="AC42" i="1" s="1"/>
  <c r="U42" i="1"/>
  <c r="AD42" i="1" s="1"/>
  <c r="V42" i="1"/>
  <c r="AE42" i="1" s="1"/>
  <c r="W42" i="1"/>
  <c r="AF42" i="1" s="1"/>
  <c r="P43" i="1"/>
  <c r="Y43" i="1" s="1"/>
  <c r="Q43" i="1"/>
  <c r="Z43" i="1" s="1"/>
  <c r="R43" i="1"/>
  <c r="AA43" i="1" s="1"/>
  <c r="S43" i="1"/>
  <c r="AB43" i="1" s="1"/>
  <c r="T43" i="1"/>
  <c r="AC43" i="1" s="1"/>
  <c r="U43" i="1"/>
  <c r="AD43" i="1" s="1"/>
  <c r="V43" i="1"/>
  <c r="AE43" i="1" s="1"/>
  <c r="W43" i="1"/>
  <c r="AF43" i="1" s="1"/>
  <c r="P44" i="1"/>
  <c r="Y44" i="1" s="1"/>
  <c r="Q44" i="1"/>
  <c r="Z44" i="1" s="1"/>
  <c r="R44" i="1"/>
  <c r="AA44" i="1" s="1"/>
  <c r="S44" i="1"/>
  <c r="AB44" i="1" s="1"/>
  <c r="T44" i="1"/>
  <c r="AC44" i="1" s="1"/>
  <c r="U44" i="1"/>
  <c r="AD44" i="1" s="1"/>
  <c r="V44" i="1"/>
  <c r="AE44" i="1" s="1"/>
  <c r="W44" i="1"/>
  <c r="AF44" i="1" s="1"/>
  <c r="P45" i="1"/>
  <c r="Y45" i="1" s="1"/>
  <c r="Q45" i="1"/>
  <c r="Z45" i="1" s="1"/>
  <c r="R45" i="1"/>
  <c r="AA45" i="1" s="1"/>
  <c r="S45" i="1"/>
  <c r="AB45" i="1" s="1"/>
  <c r="T45" i="1"/>
  <c r="AC45" i="1" s="1"/>
  <c r="U45" i="1"/>
  <c r="AD45" i="1" s="1"/>
  <c r="V45" i="1"/>
  <c r="AE45" i="1" s="1"/>
  <c r="W45" i="1"/>
  <c r="AF45" i="1" s="1"/>
  <c r="P46" i="1"/>
  <c r="Y46" i="1" s="1"/>
  <c r="Q46" i="1"/>
  <c r="Z46" i="1" s="1"/>
  <c r="R46" i="1"/>
  <c r="AA46" i="1" s="1"/>
  <c r="S46" i="1"/>
  <c r="AB46" i="1" s="1"/>
  <c r="T46" i="1"/>
  <c r="AC46" i="1" s="1"/>
  <c r="U46" i="1"/>
  <c r="AD46" i="1" s="1"/>
  <c r="V46" i="1"/>
  <c r="AE46" i="1" s="1"/>
  <c r="W46" i="1"/>
  <c r="AF46" i="1" s="1"/>
  <c r="P47" i="1"/>
  <c r="Y47" i="1" s="1"/>
  <c r="Q47" i="1"/>
  <c r="Z47" i="1" s="1"/>
  <c r="R47" i="1"/>
  <c r="AA47" i="1" s="1"/>
  <c r="S47" i="1"/>
  <c r="AB47" i="1" s="1"/>
  <c r="T47" i="1"/>
  <c r="AC47" i="1" s="1"/>
  <c r="U47" i="1"/>
  <c r="AD47" i="1" s="1"/>
  <c r="V47" i="1"/>
  <c r="AE47" i="1" s="1"/>
  <c r="W47" i="1"/>
  <c r="AF47" i="1" s="1"/>
  <c r="P48" i="1"/>
  <c r="Y48" i="1" s="1"/>
  <c r="Q48" i="1"/>
  <c r="Z48" i="1" s="1"/>
  <c r="R48" i="1"/>
  <c r="AA48" i="1" s="1"/>
  <c r="S48" i="1"/>
  <c r="AB48" i="1" s="1"/>
  <c r="T48" i="1"/>
  <c r="AC48" i="1" s="1"/>
  <c r="U48" i="1"/>
  <c r="AD48" i="1" s="1"/>
  <c r="V48" i="1"/>
  <c r="AE48" i="1" s="1"/>
  <c r="W48" i="1"/>
  <c r="AF48" i="1" s="1"/>
  <c r="P49" i="1"/>
  <c r="Y49" i="1" s="1"/>
  <c r="Q49" i="1"/>
  <c r="Z49" i="1" s="1"/>
  <c r="R49" i="1"/>
  <c r="AA49" i="1" s="1"/>
  <c r="S49" i="1"/>
  <c r="AB49" i="1" s="1"/>
  <c r="T49" i="1"/>
  <c r="AC49" i="1" s="1"/>
  <c r="U49" i="1"/>
  <c r="AD49" i="1" s="1"/>
  <c r="V49" i="1"/>
  <c r="AE49" i="1" s="1"/>
  <c r="W49" i="1"/>
  <c r="AF49" i="1" s="1"/>
  <c r="P50" i="1"/>
  <c r="Y50" i="1" s="1"/>
  <c r="Q50" i="1"/>
  <c r="Z50" i="1" s="1"/>
  <c r="R50" i="1"/>
  <c r="AA50" i="1" s="1"/>
  <c r="S50" i="1"/>
  <c r="AB50" i="1" s="1"/>
  <c r="T50" i="1"/>
  <c r="AC50" i="1" s="1"/>
  <c r="U50" i="1"/>
  <c r="AD50" i="1" s="1"/>
  <c r="V50" i="1"/>
  <c r="AE50" i="1" s="1"/>
  <c r="W50" i="1"/>
  <c r="AF50" i="1" s="1"/>
  <c r="P51" i="1"/>
  <c r="Y51" i="1" s="1"/>
  <c r="Q51" i="1"/>
  <c r="Z51" i="1" s="1"/>
  <c r="R51" i="1"/>
  <c r="AA51" i="1" s="1"/>
  <c r="S51" i="1"/>
  <c r="AB51" i="1" s="1"/>
  <c r="T51" i="1"/>
  <c r="AC51" i="1" s="1"/>
  <c r="U51" i="1"/>
  <c r="AD51" i="1" s="1"/>
  <c r="V51" i="1"/>
  <c r="AE51" i="1" s="1"/>
  <c r="W51" i="1"/>
  <c r="AF51" i="1" s="1"/>
  <c r="P52" i="1"/>
  <c r="Y52" i="1" s="1"/>
  <c r="Q52" i="1"/>
  <c r="Z52" i="1" s="1"/>
  <c r="R52" i="1"/>
  <c r="AA52" i="1" s="1"/>
  <c r="S52" i="1"/>
  <c r="AB52" i="1" s="1"/>
  <c r="T52" i="1"/>
  <c r="AC52" i="1" s="1"/>
  <c r="U52" i="1"/>
  <c r="AD52" i="1" s="1"/>
  <c r="V52" i="1"/>
  <c r="AE52" i="1" s="1"/>
  <c r="W52" i="1"/>
  <c r="AF52" i="1" s="1"/>
  <c r="P53" i="1"/>
  <c r="Y53" i="1" s="1"/>
  <c r="Q53" i="1"/>
  <c r="Z53" i="1" s="1"/>
  <c r="R53" i="1"/>
  <c r="AA53" i="1" s="1"/>
  <c r="S53" i="1"/>
  <c r="AB53" i="1" s="1"/>
  <c r="T53" i="1"/>
  <c r="AC53" i="1" s="1"/>
  <c r="U53" i="1"/>
  <c r="AD53" i="1" s="1"/>
  <c r="V53" i="1"/>
  <c r="AE53" i="1" s="1"/>
  <c r="W53" i="1"/>
  <c r="AF53" i="1" s="1"/>
  <c r="P54" i="1"/>
  <c r="Y54" i="1" s="1"/>
  <c r="Q54" i="1"/>
  <c r="Z54" i="1" s="1"/>
  <c r="R54" i="1"/>
  <c r="AA54" i="1" s="1"/>
  <c r="S54" i="1"/>
  <c r="AB54" i="1" s="1"/>
  <c r="T54" i="1"/>
  <c r="AC54" i="1" s="1"/>
  <c r="U54" i="1"/>
  <c r="AD54" i="1" s="1"/>
  <c r="V54" i="1"/>
  <c r="AE54" i="1" s="1"/>
  <c r="W54" i="1"/>
  <c r="AF54" i="1" s="1"/>
  <c r="P55" i="1"/>
  <c r="Y55" i="1" s="1"/>
  <c r="Q55" i="1"/>
  <c r="Z55" i="1" s="1"/>
  <c r="R55" i="1"/>
  <c r="AA55" i="1" s="1"/>
  <c r="S55" i="1"/>
  <c r="AB55" i="1" s="1"/>
  <c r="T55" i="1"/>
  <c r="AC55" i="1" s="1"/>
  <c r="U55" i="1"/>
  <c r="AD55" i="1" s="1"/>
  <c r="V55" i="1"/>
  <c r="AE55" i="1" s="1"/>
  <c r="W55" i="1"/>
  <c r="AF55" i="1" s="1"/>
  <c r="P56" i="1"/>
  <c r="Y56" i="1" s="1"/>
  <c r="Q56" i="1"/>
  <c r="Z56" i="1" s="1"/>
  <c r="R56" i="1"/>
  <c r="AA56" i="1" s="1"/>
  <c r="S56" i="1"/>
  <c r="AB56" i="1" s="1"/>
  <c r="T56" i="1"/>
  <c r="AC56" i="1" s="1"/>
  <c r="U56" i="1"/>
  <c r="AD56" i="1" s="1"/>
  <c r="V56" i="1"/>
  <c r="AE56" i="1" s="1"/>
  <c r="W56" i="1"/>
  <c r="AF56" i="1" s="1"/>
  <c r="P57" i="1"/>
  <c r="Y57" i="1" s="1"/>
  <c r="Q57" i="1"/>
  <c r="Z57" i="1" s="1"/>
  <c r="R57" i="1"/>
  <c r="AA57" i="1" s="1"/>
  <c r="S57" i="1"/>
  <c r="AB57" i="1" s="1"/>
  <c r="T57" i="1"/>
  <c r="AC57" i="1" s="1"/>
  <c r="U57" i="1"/>
  <c r="AD57" i="1" s="1"/>
  <c r="V57" i="1"/>
  <c r="AE57" i="1" s="1"/>
  <c r="W57" i="1"/>
  <c r="AF57" i="1" s="1"/>
  <c r="P58" i="1"/>
  <c r="Y58" i="1" s="1"/>
  <c r="Q58" i="1"/>
  <c r="Z58" i="1" s="1"/>
  <c r="R58" i="1"/>
  <c r="AA58" i="1" s="1"/>
  <c r="S58" i="1"/>
  <c r="AB58" i="1" s="1"/>
  <c r="T58" i="1"/>
  <c r="AC58" i="1" s="1"/>
  <c r="U58" i="1"/>
  <c r="AD58" i="1" s="1"/>
  <c r="V58" i="1"/>
  <c r="AE58" i="1" s="1"/>
  <c r="W58" i="1"/>
  <c r="AF58" i="1" s="1"/>
  <c r="P59" i="1"/>
  <c r="Y59" i="1" s="1"/>
  <c r="Q59" i="1"/>
  <c r="Z59" i="1" s="1"/>
  <c r="R59" i="1"/>
  <c r="AA59" i="1" s="1"/>
  <c r="S59" i="1"/>
  <c r="AB59" i="1" s="1"/>
  <c r="T59" i="1"/>
  <c r="AC59" i="1" s="1"/>
  <c r="U59" i="1"/>
  <c r="AD59" i="1" s="1"/>
  <c r="V59" i="1"/>
  <c r="AE59" i="1" s="1"/>
  <c r="W59" i="1"/>
  <c r="AF59" i="1" s="1"/>
  <c r="P60" i="1"/>
  <c r="Y60" i="1" s="1"/>
  <c r="Q60" i="1"/>
  <c r="Z60" i="1" s="1"/>
  <c r="R60" i="1"/>
  <c r="AA60" i="1" s="1"/>
  <c r="S60" i="1"/>
  <c r="AB60" i="1" s="1"/>
  <c r="T60" i="1"/>
  <c r="AC60" i="1" s="1"/>
  <c r="U60" i="1"/>
  <c r="AD60" i="1" s="1"/>
  <c r="V60" i="1"/>
  <c r="AE60" i="1" s="1"/>
  <c r="W60" i="1"/>
  <c r="AF60" i="1" s="1"/>
  <c r="U2" i="1"/>
  <c r="AD2" i="1" s="1"/>
  <c r="V2" i="1"/>
  <c r="AE2" i="1" s="1"/>
  <c r="W2" i="1"/>
  <c r="AF2" i="1" s="1"/>
  <c r="T2" i="1"/>
  <c r="AC2" i="1" s="1"/>
  <c r="Q2" i="1"/>
  <c r="Z2" i="1" s="1"/>
  <c r="R2" i="1"/>
  <c r="AA2" i="1" s="1"/>
  <c r="S2" i="1"/>
  <c r="AB2" i="1" s="1"/>
  <c r="P2" i="1"/>
  <c r="Y2" i="1" s="1"/>
  <c r="AF3" i="1" l="1"/>
  <c r="AE3" i="1"/>
  <c r="AD3" i="1"/>
  <c r="AC3" i="1"/>
  <c r="AB3" i="1"/>
  <c r="AA3" i="1"/>
  <c r="Z3" i="1"/>
  <c r="Y3" i="1"/>
  <c r="K1" i="2"/>
  <c r="R4" i="2"/>
  <c r="R1" i="2" s="1"/>
</calcChain>
</file>

<file path=xl/sharedStrings.xml><?xml version="1.0" encoding="utf-8"?>
<sst xmlns="http://schemas.openxmlformats.org/spreadsheetml/2006/main" count="31" uniqueCount="29">
  <si>
    <t>The count of motorcycles is not accurate</t>
  </si>
  <si>
    <t>Start time: 14:05:16</t>
  </si>
  <si>
    <t>veh/hr</t>
    <phoneticPr fontId="18" type="noConversion"/>
  </si>
  <si>
    <t>count time</t>
    <phoneticPr fontId="18" type="noConversion"/>
  </si>
  <si>
    <t>exit_car</t>
  </si>
  <si>
    <t>exit_motorcycle</t>
  </si>
  <si>
    <t>exit_bus</t>
  </si>
  <si>
    <t>exit_truck</t>
  </si>
  <si>
    <t>main road_car</t>
  </si>
  <si>
    <t>main road_motorcycle</t>
  </si>
  <si>
    <t>main road_bus</t>
  </si>
  <si>
    <t>main_road_truck</t>
  </si>
  <si>
    <t>exit total (without motorcycles)</t>
    <phoneticPr fontId="18" type="noConversion"/>
  </si>
  <si>
    <t>main road total (without motorcycles)</t>
    <phoneticPr fontId="18" type="noConversion"/>
  </si>
  <si>
    <t>total (without motorcycles)</t>
  </si>
  <si>
    <t>timestamp</t>
  </si>
  <si>
    <t>video_time_sec</t>
  </si>
  <si>
    <t>line_1_up_car</t>
  </si>
  <si>
    <t>line_1_up_motorcycle</t>
  </si>
  <si>
    <t>line_1_up_bus</t>
  </si>
  <si>
    <t>line_1_up_truck</t>
  </si>
  <si>
    <t>line_2_up_car</t>
  </si>
  <si>
    <t>line_2_up_motorcycle</t>
  </si>
  <si>
    <t>line_2_up_bus</t>
  </si>
  <si>
    <t>line_2_up_truck</t>
  </si>
  <si>
    <t>line_3_left_car</t>
  </si>
  <si>
    <t>line_3_left_motorcycle</t>
  </si>
  <si>
    <t>line_3_left_bus</t>
  </si>
  <si>
    <t>line_3_left_truck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</si>
</sst>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'Results_off peak'!$K$3</c:f>
              <c:strCache>
                <c:ptCount val="1"/>
                <c:pt idx="0">
                  <c:v>exit total (without motorcycles)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9BBB59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'Results_off peak'!$A$4:$A$65</c:f>
              <c:numCache>
                <c:formatCode>General</c:formatCode>
                <c:ptCount val="62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720.49</c:v>
                </c:pt>
                <c:pt idx="12">
                  <c:v>780.53</c:v>
                </c:pt>
                <c:pt idx="13">
                  <c:v>840.57</c:v>
                </c:pt>
                <c:pt idx="14">
                  <c:v>900.61</c:v>
                </c:pt>
                <c:pt idx="15">
                  <c:v>960.65</c:v>
                </c:pt>
                <c:pt idx="16">
                  <c:v>1020.69</c:v>
                </c:pt>
                <c:pt idx="17">
                  <c:v>1080.73</c:v>
                </c:pt>
                <c:pt idx="18">
                  <c:v>1140.77</c:v>
                </c:pt>
                <c:pt idx="19">
                  <c:v>1200.81</c:v>
                </c:pt>
                <c:pt idx="20">
                  <c:v>1260.8499999999999</c:v>
                </c:pt>
                <c:pt idx="21">
                  <c:v>1320.89</c:v>
                </c:pt>
                <c:pt idx="22">
                  <c:v>1380.94</c:v>
                </c:pt>
                <c:pt idx="23">
                  <c:v>1440.98</c:v>
                </c:pt>
                <c:pt idx="24">
                  <c:v>1500</c:v>
                </c:pt>
                <c:pt idx="25">
                  <c:v>1560.04</c:v>
                </c:pt>
                <c:pt idx="26">
                  <c:v>1620.08</c:v>
                </c:pt>
                <c:pt idx="27">
                  <c:v>1680.12</c:v>
                </c:pt>
                <c:pt idx="28">
                  <c:v>1740.16</c:v>
                </c:pt>
                <c:pt idx="29">
                  <c:v>1800.2</c:v>
                </c:pt>
                <c:pt idx="30">
                  <c:v>1860.24</c:v>
                </c:pt>
                <c:pt idx="31">
                  <c:v>1920.28</c:v>
                </c:pt>
                <c:pt idx="32">
                  <c:v>1980.33</c:v>
                </c:pt>
                <c:pt idx="33">
                  <c:v>2040.37</c:v>
                </c:pt>
                <c:pt idx="34">
                  <c:v>2100.41</c:v>
                </c:pt>
                <c:pt idx="35">
                  <c:v>2160.4499999999998</c:v>
                </c:pt>
                <c:pt idx="36">
                  <c:v>2220.4899999999998</c:v>
                </c:pt>
                <c:pt idx="37">
                  <c:v>2280.5299999999997</c:v>
                </c:pt>
                <c:pt idx="38">
                  <c:v>2340.5700000000002</c:v>
                </c:pt>
                <c:pt idx="39">
                  <c:v>2400.61</c:v>
                </c:pt>
                <c:pt idx="40">
                  <c:v>2460.65</c:v>
                </c:pt>
                <c:pt idx="41">
                  <c:v>2520.69</c:v>
                </c:pt>
                <c:pt idx="42">
                  <c:v>2580.73</c:v>
                </c:pt>
                <c:pt idx="43">
                  <c:v>2640.77</c:v>
                </c:pt>
                <c:pt idx="44">
                  <c:v>2700.81</c:v>
                </c:pt>
                <c:pt idx="45">
                  <c:v>2760.85</c:v>
                </c:pt>
                <c:pt idx="46">
                  <c:v>2820.9</c:v>
                </c:pt>
                <c:pt idx="47">
                  <c:v>2880.94</c:v>
                </c:pt>
                <c:pt idx="48">
                  <c:v>2940.98</c:v>
                </c:pt>
                <c:pt idx="49">
                  <c:v>3001.02</c:v>
                </c:pt>
                <c:pt idx="50">
                  <c:v>3061.06</c:v>
                </c:pt>
                <c:pt idx="51">
                  <c:v>3121.1</c:v>
                </c:pt>
                <c:pt idx="52">
                  <c:v>3181.1400000000003</c:v>
                </c:pt>
                <c:pt idx="53">
                  <c:v>3241.1800000000003</c:v>
                </c:pt>
                <c:pt idx="54">
                  <c:v>3301.2200000000003</c:v>
                </c:pt>
                <c:pt idx="55">
                  <c:v>3361.26</c:v>
                </c:pt>
                <c:pt idx="56">
                  <c:v>3421.3</c:v>
                </c:pt>
                <c:pt idx="57">
                  <c:v>3481.34</c:v>
                </c:pt>
                <c:pt idx="58">
                  <c:v>3539.9700000000003</c:v>
                </c:pt>
                <c:pt idx="59">
                  <c:v>3600</c:v>
                </c:pt>
                <c:pt idx="60">
                  <c:v>3660.04</c:v>
                </c:pt>
                <c:pt idx="61">
                  <c:v>3720.08</c:v>
                </c:pt>
              </c:numCache>
            </c:numRef>
          </c:cat>
          <c:val>
            <c:numRef>
              <c:f>'Results_off peak'!$K$4:$K$65</c:f>
              <c:numCache>
                <c:formatCode>General</c:formatCode>
                <c:ptCount val="62"/>
                <c:pt idx="0">
                  <c:v>29</c:v>
                </c:pt>
                <c:pt idx="1">
                  <c:v>30</c:v>
                </c:pt>
                <c:pt idx="2">
                  <c:v>22</c:v>
                </c:pt>
                <c:pt idx="3">
                  <c:v>29</c:v>
                </c:pt>
                <c:pt idx="4">
                  <c:v>29</c:v>
                </c:pt>
                <c:pt idx="5">
                  <c:v>25</c:v>
                </c:pt>
                <c:pt idx="6">
                  <c:v>18</c:v>
                </c:pt>
                <c:pt idx="7">
                  <c:v>25</c:v>
                </c:pt>
                <c:pt idx="8">
                  <c:v>29</c:v>
                </c:pt>
                <c:pt idx="9">
                  <c:v>34</c:v>
                </c:pt>
                <c:pt idx="10">
                  <c:v>27</c:v>
                </c:pt>
                <c:pt idx="11">
                  <c:v>34</c:v>
                </c:pt>
                <c:pt idx="12">
                  <c:v>23</c:v>
                </c:pt>
                <c:pt idx="13">
                  <c:v>38</c:v>
                </c:pt>
                <c:pt idx="14">
                  <c:v>30</c:v>
                </c:pt>
                <c:pt idx="15">
                  <c:v>20</c:v>
                </c:pt>
                <c:pt idx="16">
                  <c:v>38</c:v>
                </c:pt>
                <c:pt idx="17">
                  <c:v>25</c:v>
                </c:pt>
                <c:pt idx="18">
                  <c:v>26</c:v>
                </c:pt>
                <c:pt idx="19">
                  <c:v>23</c:v>
                </c:pt>
                <c:pt idx="20">
                  <c:v>32</c:v>
                </c:pt>
                <c:pt idx="21">
                  <c:v>31</c:v>
                </c:pt>
                <c:pt idx="22">
                  <c:v>34</c:v>
                </c:pt>
                <c:pt idx="23">
                  <c:v>26</c:v>
                </c:pt>
                <c:pt idx="25">
                  <c:v>30</c:v>
                </c:pt>
                <c:pt idx="26">
                  <c:v>25</c:v>
                </c:pt>
                <c:pt idx="27">
                  <c:v>33</c:v>
                </c:pt>
                <c:pt idx="28">
                  <c:v>25</c:v>
                </c:pt>
                <c:pt idx="29">
                  <c:v>32</c:v>
                </c:pt>
                <c:pt idx="30">
                  <c:v>18</c:v>
                </c:pt>
                <c:pt idx="31">
                  <c:v>33</c:v>
                </c:pt>
                <c:pt idx="32">
                  <c:v>25</c:v>
                </c:pt>
                <c:pt idx="33">
                  <c:v>30</c:v>
                </c:pt>
                <c:pt idx="34">
                  <c:v>36</c:v>
                </c:pt>
                <c:pt idx="35">
                  <c:v>32</c:v>
                </c:pt>
                <c:pt idx="36">
                  <c:v>36</c:v>
                </c:pt>
                <c:pt idx="37">
                  <c:v>30</c:v>
                </c:pt>
                <c:pt idx="38">
                  <c:v>33</c:v>
                </c:pt>
                <c:pt idx="39">
                  <c:v>24</c:v>
                </c:pt>
                <c:pt idx="40">
                  <c:v>33</c:v>
                </c:pt>
                <c:pt idx="41">
                  <c:v>38</c:v>
                </c:pt>
                <c:pt idx="42">
                  <c:v>30</c:v>
                </c:pt>
                <c:pt idx="43">
                  <c:v>37</c:v>
                </c:pt>
                <c:pt idx="44">
                  <c:v>28</c:v>
                </c:pt>
                <c:pt idx="45">
                  <c:v>29</c:v>
                </c:pt>
                <c:pt idx="46">
                  <c:v>36</c:v>
                </c:pt>
                <c:pt idx="47">
                  <c:v>36</c:v>
                </c:pt>
                <c:pt idx="48">
                  <c:v>32</c:v>
                </c:pt>
                <c:pt idx="49">
                  <c:v>39</c:v>
                </c:pt>
                <c:pt idx="50">
                  <c:v>31</c:v>
                </c:pt>
                <c:pt idx="51">
                  <c:v>14</c:v>
                </c:pt>
                <c:pt idx="52">
                  <c:v>32</c:v>
                </c:pt>
                <c:pt idx="53">
                  <c:v>27</c:v>
                </c:pt>
                <c:pt idx="54">
                  <c:v>25</c:v>
                </c:pt>
                <c:pt idx="55">
                  <c:v>31</c:v>
                </c:pt>
                <c:pt idx="56">
                  <c:v>37</c:v>
                </c:pt>
                <c:pt idx="57">
                  <c:v>29</c:v>
                </c:pt>
                <c:pt idx="58">
                  <c:v>34</c:v>
                </c:pt>
                <c:pt idx="60">
                  <c:v>30</c:v>
                </c:pt>
                <c:pt idx="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D6-4DA0-99BD-0F70274C2A0F}"/>
            </c:ext>
          </c:extLst>
        </c:ser>
        <c:ser>
          <c:idx val="2"/>
          <c:order val="1"/>
          <c:tx>
            <c:strRef>
              <c:f>'Results_off peak'!$N$3</c:f>
              <c:strCache>
                <c:ptCount val="1"/>
                <c:pt idx="0">
                  <c:v>main road total (without motorcycles)</c:v>
                </c:pt>
              </c:strCache>
            </c:strRef>
          </c:tx>
          <c:spPr>
            <a:ln w="28575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C0504D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'Results_off peak'!$A$4:$A$65</c:f>
              <c:numCache>
                <c:formatCode>General</c:formatCode>
                <c:ptCount val="62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720.49</c:v>
                </c:pt>
                <c:pt idx="12">
                  <c:v>780.53</c:v>
                </c:pt>
                <c:pt idx="13">
                  <c:v>840.57</c:v>
                </c:pt>
                <c:pt idx="14">
                  <c:v>900.61</c:v>
                </c:pt>
                <c:pt idx="15">
                  <c:v>960.65</c:v>
                </c:pt>
                <c:pt idx="16">
                  <c:v>1020.69</c:v>
                </c:pt>
                <c:pt idx="17">
                  <c:v>1080.73</c:v>
                </c:pt>
                <c:pt idx="18">
                  <c:v>1140.77</c:v>
                </c:pt>
                <c:pt idx="19">
                  <c:v>1200.81</c:v>
                </c:pt>
                <c:pt idx="20">
                  <c:v>1260.8499999999999</c:v>
                </c:pt>
                <c:pt idx="21">
                  <c:v>1320.89</c:v>
                </c:pt>
                <c:pt idx="22">
                  <c:v>1380.94</c:v>
                </c:pt>
                <c:pt idx="23">
                  <c:v>1440.98</c:v>
                </c:pt>
                <c:pt idx="24">
                  <c:v>1500</c:v>
                </c:pt>
                <c:pt idx="25">
                  <c:v>1560.04</c:v>
                </c:pt>
                <c:pt idx="26">
                  <c:v>1620.08</c:v>
                </c:pt>
                <c:pt idx="27">
                  <c:v>1680.12</c:v>
                </c:pt>
                <c:pt idx="28">
                  <c:v>1740.16</c:v>
                </c:pt>
                <c:pt idx="29">
                  <c:v>1800.2</c:v>
                </c:pt>
                <c:pt idx="30">
                  <c:v>1860.24</c:v>
                </c:pt>
                <c:pt idx="31">
                  <c:v>1920.28</c:v>
                </c:pt>
                <c:pt idx="32">
                  <c:v>1980.33</c:v>
                </c:pt>
                <c:pt idx="33">
                  <c:v>2040.37</c:v>
                </c:pt>
                <c:pt idx="34">
                  <c:v>2100.41</c:v>
                </c:pt>
                <c:pt idx="35">
                  <c:v>2160.4499999999998</c:v>
                </c:pt>
                <c:pt idx="36">
                  <c:v>2220.4899999999998</c:v>
                </c:pt>
                <c:pt idx="37">
                  <c:v>2280.5299999999997</c:v>
                </c:pt>
                <c:pt idx="38">
                  <c:v>2340.5700000000002</c:v>
                </c:pt>
                <c:pt idx="39">
                  <c:v>2400.61</c:v>
                </c:pt>
                <c:pt idx="40">
                  <c:v>2460.65</c:v>
                </c:pt>
                <c:pt idx="41">
                  <c:v>2520.69</c:v>
                </c:pt>
                <c:pt idx="42">
                  <c:v>2580.73</c:v>
                </c:pt>
                <c:pt idx="43">
                  <c:v>2640.77</c:v>
                </c:pt>
                <c:pt idx="44">
                  <c:v>2700.81</c:v>
                </c:pt>
                <c:pt idx="45">
                  <c:v>2760.85</c:v>
                </c:pt>
                <c:pt idx="46">
                  <c:v>2820.9</c:v>
                </c:pt>
                <c:pt idx="47">
                  <c:v>2880.94</c:v>
                </c:pt>
                <c:pt idx="48">
                  <c:v>2940.98</c:v>
                </c:pt>
                <c:pt idx="49">
                  <c:v>3001.02</c:v>
                </c:pt>
                <c:pt idx="50">
                  <c:v>3061.06</c:v>
                </c:pt>
                <c:pt idx="51">
                  <c:v>3121.1</c:v>
                </c:pt>
                <c:pt idx="52">
                  <c:v>3181.1400000000003</c:v>
                </c:pt>
                <c:pt idx="53">
                  <c:v>3241.1800000000003</c:v>
                </c:pt>
                <c:pt idx="54">
                  <c:v>3301.2200000000003</c:v>
                </c:pt>
                <c:pt idx="55">
                  <c:v>3361.26</c:v>
                </c:pt>
                <c:pt idx="56">
                  <c:v>3421.3</c:v>
                </c:pt>
                <c:pt idx="57">
                  <c:v>3481.34</c:v>
                </c:pt>
                <c:pt idx="58">
                  <c:v>3539.9700000000003</c:v>
                </c:pt>
                <c:pt idx="59">
                  <c:v>3600</c:v>
                </c:pt>
                <c:pt idx="60">
                  <c:v>3660.04</c:v>
                </c:pt>
                <c:pt idx="61">
                  <c:v>3720.08</c:v>
                </c:pt>
              </c:numCache>
            </c:numRef>
          </c:cat>
          <c:val>
            <c:numRef>
              <c:f>'Results_off peak'!$N$4:$N$65</c:f>
              <c:numCache>
                <c:formatCode>General</c:formatCode>
                <c:ptCount val="62"/>
                <c:pt idx="0">
                  <c:v>47</c:v>
                </c:pt>
                <c:pt idx="1">
                  <c:v>33</c:v>
                </c:pt>
                <c:pt idx="2">
                  <c:v>53</c:v>
                </c:pt>
                <c:pt idx="3">
                  <c:v>56</c:v>
                </c:pt>
                <c:pt idx="4">
                  <c:v>66</c:v>
                </c:pt>
                <c:pt idx="5">
                  <c:v>52</c:v>
                </c:pt>
                <c:pt idx="6">
                  <c:v>55</c:v>
                </c:pt>
                <c:pt idx="7">
                  <c:v>57</c:v>
                </c:pt>
                <c:pt idx="8">
                  <c:v>47</c:v>
                </c:pt>
                <c:pt idx="9">
                  <c:v>51</c:v>
                </c:pt>
                <c:pt idx="10">
                  <c:v>55</c:v>
                </c:pt>
                <c:pt idx="11">
                  <c:v>54</c:v>
                </c:pt>
                <c:pt idx="12">
                  <c:v>52</c:v>
                </c:pt>
                <c:pt idx="13">
                  <c:v>57</c:v>
                </c:pt>
                <c:pt idx="14">
                  <c:v>69</c:v>
                </c:pt>
                <c:pt idx="15">
                  <c:v>43</c:v>
                </c:pt>
                <c:pt idx="16">
                  <c:v>49</c:v>
                </c:pt>
                <c:pt idx="17">
                  <c:v>51</c:v>
                </c:pt>
                <c:pt idx="18">
                  <c:v>55</c:v>
                </c:pt>
                <c:pt idx="19">
                  <c:v>70</c:v>
                </c:pt>
                <c:pt idx="20">
                  <c:v>55</c:v>
                </c:pt>
                <c:pt idx="21">
                  <c:v>46</c:v>
                </c:pt>
                <c:pt idx="22">
                  <c:v>75</c:v>
                </c:pt>
                <c:pt idx="23">
                  <c:v>56</c:v>
                </c:pt>
                <c:pt idx="25">
                  <c:v>49</c:v>
                </c:pt>
                <c:pt idx="26">
                  <c:v>57</c:v>
                </c:pt>
                <c:pt idx="27">
                  <c:v>54</c:v>
                </c:pt>
                <c:pt idx="28">
                  <c:v>45</c:v>
                </c:pt>
                <c:pt idx="29">
                  <c:v>68</c:v>
                </c:pt>
                <c:pt idx="30">
                  <c:v>46</c:v>
                </c:pt>
                <c:pt idx="31">
                  <c:v>56</c:v>
                </c:pt>
                <c:pt idx="32">
                  <c:v>59</c:v>
                </c:pt>
                <c:pt idx="33">
                  <c:v>50</c:v>
                </c:pt>
                <c:pt idx="34">
                  <c:v>75</c:v>
                </c:pt>
                <c:pt idx="35">
                  <c:v>61</c:v>
                </c:pt>
                <c:pt idx="36">
                  <c:v>58</c:v>
                </c:pt>
                <c:pt idx="37">
                  <c:v>50</c:v>
                </c:pt>
                <c:pt idx="38">
                  <c:v>38</c:v>
                </c:pt>
                <c:pt idx="39">
                  <c:v>63</c:v>
                </c:pt>
                <c:pt idx="40">
                  <c:v>56</c:v>
                </c:pt>
                <c:pt idx="41">
                  <c:v>46</c:v>
                </c:pt>
                <c:pt idx="42">
                  <c:v>59</c:v>
                </c:pt>
                <c:pt idx="43">
                  <c:v>51</c:v>
                </c:pt>
                <c:pt idx="44">
                  <c:v>48</c:v>
                </c:pt>
                <c:pt idx="45">
                  <c:v>48</c:v>
                </c:pt>
                <c:pt idx="46">
                  <c:v>42</c:v>
                </c:pt>
                <c:pt idx="47">
                  <c:v>49</c:v>
                </c:pt>
                <c:pt idx="48">
                  <c:v>61</c:v>
                </c:pt>
                <c:pt idx="49">
                  <c:v>48</c:v>
                </c:pt>
                <c:pt idx="50">
                  <c:v>56</c:v>
                </c:pt>
                <c:pt idx="51">
                  <c:v>43</c:v>
                </c:pt>
                <c:pt idx="52">
                  <c:v>56</c:v>
                </c:pt>
                <c:pt idx="53">
                  <c:v>32</c:v>
                </c:pt>
                <c:pt idx="54">
                  <c:v>41</c:v>
                </c:pt>
                <c:pt idx="55">
                  <c:v>59</c:v>
                </c:pt>
                <c:pt idx="56">
                  <c:v>44</c:v>
                </c:pt>
                <c:pt idx="57">
                  <c:v>48</c:v>
                </c:pt>
                <c:pt idx="58">
                  <c:v>48</c:v>
                </c:pt>
                <c:pt idx="60">
                  <c:v>61</c:v>
                </c:pt>
                <c:pt idx="6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D6-4DA0-99BD-0F70274C2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97256"/>
        <c:axId val="214199304"/>
      </c:lineChart>
      <c:catAx>
        <c:axId val="214197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99304"/>
        <c:crosses val="autoZero"/>
        <c:auto val="1"/>
        <c:lblAlgn val="ctr"/>
        <c:lblOffset val="100"/>
        <c:noMultiLvlLbl val="0"/>
      </c:catAx>
      <c:valAx>
        <c:axId val="21419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97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'Results_off peak'!$R$3</c:f>
              <c:strCache>
                <c:ptCount val="1"/>
                <c:pt idx="0">
                  <c:v>total (without motorcycles)</c:v>
                </c:pt>
              </c:strCache>
            </c:strRef>
          </c:tx>
          <c:spPr>
            <a:ln w="28575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'Results_off peak'!$A$4:$A$65</c:f>
              <c:numCache>
                <c:formatCode>General</c:formatCode>
                <c:ptCount val="62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720.49</c:v>
                </c:pt>
                <c:pt idx="12">
                  <c:v>780.53</c:v>
                </c:pt>
                <c:pt idx="13">
                  <c:v>840.57</c:v>
                </c:pt>
                <c:pt idx="14">
                  <c:v>900.61</c:v>
                </c:pt>
                <c:pt idx="15">
                  <c:v>960.65</c:v>
                </c:pt>
                <c:pt idx="16">
                  <c:v>1020.69</c:v>
                </c:pt>
                <c:pt idx="17">
                  <c:v>1080.73</c:v>
                </c:pt>
                <c:pt idx="18">
                  <c:v>1140.77</c:v>
                </c:pt>
                <c:pt idx="19">
                  <c:v>1200.81</c:v>
                </c:pt>
                <c:pt idx="20">
                  <c:v>1260.8499999999999</c:v>
                </c:pt>
                <c:pt idx="21">
                  <c:v>1320.89</c:v>
                </c:pt>
                <c:pt idx="22">
                  <c:v>1380.94</c:v>
                </c:pt>
                <c:pt idx="23">
                  <c:v>1440.98</c:v>
                </c:pt>
                <c:pt idx="24">
                  <c:v>1500</c:v>
                </c:pt>
                <c:pt idx="25">
                  <c:v>1560.04</c:v>
                </c:pt>
                <c:pt idx="26">
                  <c:v>1620.08</c:v>
                </c:pt>
                <c:pt idx="27">
                  <c:v>1680.12</c:v>
                </c:pt>
                <c:pt idx="28">
                  <c:v>1740.16</c:v>
                </c:pt>
                <c:pt idx="29">
                  <c:v>1800.2</c:v>
                </c:pt>
                <c:pt idx="30">
                  <c:v>1860.24</c:v>
                </c:pt>
                <c:pt idx="31">
                  <c:v>1920.28</c:v>
                </c:pt>
                <c:pt idx="32">
                  <c:v>1980.33</c:v>
                </c:pt>
                <c:pt idx="33">
                  <c:v>2040.37</c:v>
                </c:pt>
                <c:pt idx="34">
                  <c:v>2100.41</c:v>
                </c:pt>
                <c:pt idx="35">
                  <c:v>2160.4499999999998</c:v>
                </c:pt>
                <c:pt idx="36">
                  <c:v>2220.4899999999998</c:v>
                </c:pt>
                <c:pt idx="37">
                  <c:v>2280.5299999999997</c:v>
                </c:pt>
                <c:pt idx="38">
                  <c:v>2340.5700000000002</c:v>
                </c:pt>
                <c:pt idx="39">
                  <c:v>2400.61</c:v>
                </c:pt>
                <c:pt idx="40">
                  <c:v>2460.65</c:v>
                </c:pt>
                <c:pt idx="41">
                  <c:v>2520.69</c:v>
                </c:pt>
                <c:pt idx="42">
                  <c:v>2580.73</c:v>
                </c:pt>
                <c:pt idx="43">
                  <c:v>2640.77</c:v>
                </c:pt>
                <c:pt idx="44">
                  <c:v>2700.81</c:v>
                </c:pt>
                <c:pt idx="45">
                  <c:v>2760.85</c:v>
                </c:pt>
                <c:pt idx="46">
                  <c:v>2820.9</c:v>
                </c:pt>
                <c:pt idx="47">
                  <c:v>2880.94</c:v>
                </c:pt>
                <c:pt idx="48">
                  <c:v>2940.98</c:v>
                </c:pt>
                <c:pt idx="49">
                  <c:v>3001.02</c:v>
                </c:pt>
                <c:pt idx="50">
                  <c:v>3061.06</c:v>
                </c:pt>
                <c:pt idx="51">
                  <c:v>3121.1</c:v>
                </c:pt>
                <c:pt idx="52">
                  <c:v>3181.1400000000003</c:v>
                </c:pt>
                <c:pt idx="53">
                  <c:v>3241.1800000000003</c:v>
                </c:pt>
                <c:pt idx="54">
                  <c:v>3301.2200000000003</c:v>
                </c:pt>
                <c:pt idx="55">
                  <c:v>3361.26</c:v>
                </c:pt>
                <c:pt idx="56">
                  <c:v>3421.3</c:v>
                </c:pt>
                <c:pt idx="57">
                  <c:v>3481.34</c:v>
                </c:pt>
                <c:pt idx="58">
                  <c:v>3539.9700000000003</c:v>
                </c:pt>
                <c:pt idx="59">
                  <c:v>3600</c:v>
                </c:pt>
                <c:pt idx="60">
                  <c:v>3660.04</c:v>
                </c:pt>
                <c:pt idx="61">
                  <c:v>3720.08</c:v>
                </c:pt>
              </c:numCache>
            </c:numRef>
          </c:cat>
          <c:val>
            <c:numRef>
              <c:f>'Results_off peak'!$R$4:$R$65</c:f>
              <c:numCache>
                <c:formatCode>General</c:formatCode>
                <c:ptCount val="62"/>
                <c:pt idx="0">
                  <c:v>76</c:v>
                </c:pt>
                <c:pt idx="1">
                  <c:v>63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77</c:v>
                </c:pt>
                <c:pt idx="6">
                  <c:v>73</c:v>
                </c:pt>
                <c:pt idx="7">
                  <c:v>82</c:v>
                </c:pt>
                <c:pt idx="8">
                  <c:v>76</c:v>
                </c:pt>
                <c:pt idx="9">
                  <c:v>85</c:v>
                </c:pt>
                <c:pt idx="10">
                  <c:v>82</c:v>
                </c:pt>
                <c:pt idx="11">
                  <c:v>88</c:v>
                </c:pt>
                <c:pt idx="12">
                  <c:v>75</c:v>
                </c:pt>
                <c:pt idx="13">
                  <c:v>95</c:v>
                </c:pt>
                <c:pt idx="14">
                  <c:v>99</c:v>
                </c:pt>
                <c:pt idx="15">
                  <c:v>63</c:v>
                </c:pt>
                <c:pt idx="16">
                  <c:v>87</c:v>
                </c:pt>
                <c:pt idx="17">
                  <c:v>76</c:v>
                </c:pt>
                <c:pt idx="18">
                  <c:v>81</c:v>
                </c:pt>
                <c:pt idx="19">
                  <c:v>93</c:v>
                </c:pt>
                <c:pt idx="20">
                  <c:v>87</c:v>
                </c:pt>
                <c:pt idx="21">
                  <c:v>77</c:v>
                </c:pt>
                <c:pt idx="22">
                  <c:v>109</c:v>
                </c:pt>
                <c:pt idx="23">
                  <c:v>82</c:v>
                </c:pt>
                <c:pt idx="25">
                  <c:v>79</c:v>
                </c:pt>
                <c:pt idx="26">
                  <c:v>82</c:v>
                </c:pt>
                <c:pt idx="27">
                  <c:v>87</c:v>
                </c:pt>
                <c:pt idx="28">
                  <c:v>70</c:v>
                </c:pt>
                <c:pt idx="29">
                  <c:v>100</c:v>
                </c:pt>
                <c:pt idx="30">
                  <c:v>64</c:v>
                </c:pt>
                <c:pt idx="31">
                  <c:v>89</c:v>
                </c:pt>
                <c:pt idx="32">
                  <c:v>84</c:v>
                </c:pt>
                <c:pt idx="33">
                  <c:v>80</c:v>
                </c:pt>
                <c:pt idx="34">
                  <c:v>111</c:v>
                </c:pt>
                <c:pt idx="35">
                  <c:v>93</c:v>
                </c:pt>
                <c:pt idx="36">
                  <c:v>94</c:v>
                </c:pt>
                <c:pt idx="37">
                  <c:v>80</c:v>
                </c:pt>
                <c:pt idx="38">
                  <c:v>71</c:v>
                </c:pt>
                <c:pt idx="39">
                  <c:v>87</c:v>
                </c:pt>
                <c:pt idx="40">
                  <c:v>89</c:v>
                </c:pt>
                <c:pt idx="41">
                  <c:v>84</c:v>
                </c:pt>
                <c:pt idx="42">
                  <c:v>89</c:v>
                </c:pt>
                <c:pt idx="43">
                  <c:v>88</c:v>
                </c:pt>
                <c:pt idx="44">
                  <c:v>76</c:v>
                </c:pt>
                <c:pt idx="45">
                  <c:v>77</c:v>
                </c:pt>
                <c:pt idx="46">
                  <c:v>78</c:v>
                </c:pt>
                <c:pt idx="47">
                  <c:v>85</c:v>
                </c:pt>
                <c:pt idx="48">
                  <c:v>93</c:v>
                </c:pt>
                <c:pt idx="49">
                  <c:v>87</c:v>
                </c:pt>
                <c:pt idx="50">
                  <c:v>87</c:v>
                </c:pt>
                <c:pt idx="51">
                  <c:v>57</c:v>
                </c:pt>
                <c:pt idx="52">
                  <c:v>88</c:v>
                </c:pt>
                <c:pt idx="53">
                  <c:v>59</c:v>
                </c:pt>
                <c:pt idx="54">
                  <c:v>66</c:v>
                </c:pt>
                <c:pt idx="55">
                  <c:v>90</c:v>
                </c:pt>
                <c:pt idx="56">
                  <c:v>81</c:v>
                </c:pt>
                <c:pt idx="57">
                  <c:v>77</c:v>
                </c:pt>
                <c:pt idx="58">
                  <c:v>82</c:v>
                </c:pt>
                <c:pt idx="60">
                  <c:v>91</c:v>
                </c:pt>
                <c:pt idx="6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7-4914-A17C-C748570CE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22535"/>
        <c:axId val="33624583"/>
      </c:lineChart>
      <c:catAx>
        <c:axId val="33622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24583"/>
        <c:crosses val="autoZero"/>
        <c:auto val="1"/>
        <c:lblAlgn val="ctr"/>
        <c:lblOffset val="100"/>
        <c:noMultiLvlLbl val="0"/>
      </c:catAx>
      <c:valAx>
        <c:axId val="33624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2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5</xdr:row>
      <xdr:rowOff>104775</xdr:rowOff>
    </xdr:from>
    <xdr:to>
      <xdr:col>9</xdr:col>
      <xdr:colOff>523875</xdr:colOff>
      <xdr:row>26</xdr:row>
      <xdr:rowOff>104775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38BFB6B-DB02-EE83-B528-C4869D293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523875</xdr:colOff>
      <xdr:row>5</xdr:row>
      <xdr:rowOff>104775</xdr:rowOff>
    </xdr:from>
    <xdr:to>
      <xdr:col>16</xdr:col>
      <xdr:colOff>476250</xdr:colOff>
      <xdr:row>28</xdr:row>
      <xdr:rowOff>95250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FE9BBE4-96AA-0D70-39A8-999AA7AA981E}"/>
            </a:ext>
            <a:ext uri="{147F2762-F138-4A5C-976F-8EAC2B608ADB}">
              <a16:predDERef xmlns:a16="http://schemas.microsoft.com/office/drawing/2014/main" pred="{C38BFB6B-DB02-EE83-B528-C4869D293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>
      <selection activeCell="U17" sqref="U17"/>
    </sheetView>
  </sheetViews>
  <sheetFormatPr defaultRowHeight="16.149999999999999"/>
  <sheetData>
    <row r="1" spans="1:19">
      <c r="A1" t="s">
        <v>0</v>
      </c>
      <c r="E1" t="s">
        <v>1</v>
      </c>
      <c r="G1" s="3">
        <v>46105</v>
      </c>
      <c r="K1">
        <f>SUM(K4:K65)</f>
        <v>1774</v>
      </c>
      <c r="L1" t="s">
        <v>2</v>
      </c>
      <c r="N1">
        <f>SUM(N4:N65)</f>
        <v>3186</v>
      </c>
      <c r="O1" t="s">
        <v>2</v>
      </c>
      <c r="R1">
        <f>SUM(R4:R65)</f>
        <v>4960</v>
      </c>
      <c r="S1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K3" t="s">
        <v>12</v>
      </c>
      <c r="N3" t="s">
        <v>13</v>
      </c>
      <c r="R3" t="s">
        <v>14</v>
      </c>
    </row>
    <row r="4" spans="1:19">
      <c r="A4">
        <v>60.04</v>
      </c>
      <c r="B4">
        <v>24</v>
      </c>
      <c r="C4">
        <v>2</v>
      </c>
      <c r="D4">
        <v>3</v>
      </c>
      <c r="E4">
        <v>2</v>
      </c>
      <c r="F4">
        <v>34</v>
      </c>
      <c r="G4">
        <v>2</v>
      </c>
      <c r="H4">
        <v>2</v>
      </c>
      <c r="I4">
        <v>11</v>
      </c>
      <c r="K4">
        <f>B4+D4+E4</f>
        <v>29</v>
      </c>
      <c r="N4">
        <f>F4+H4+I4</f>
        <v>47</v>
      </c>
      <c r="R4">
        <f>K4+N4</f>
        <v>76</v>
      </c>
    </row>
    <row r="5" spans="1:19">
      <c r="A5">
        <v>120.08</v>
      </c>
      <c r="B5">
        <v>23</v>
      </c>
      <c r="C5">
        <v>2</v>
      </c>
      <c r="D5">
        <v>1</v>
      </c>
      <c r="E5">
        <v>6</v>
      </c>
      <c r="F5">
        <v>17</v>
      </c>
      <c r="G5">
        <v>2</v>
      </c>
      <c r="H5">
        <v>1</v>
      </c>
      <c r="I5">
        <v>15</v>
      </c>
      <c r="K5">
        <f t="shared" ref="K5:K65" si="0">B5+D5+E5</f>
        <v>30</v>
      </c>
      <c r="N5">
        <f t="shared" ref="N5:N65" si="1">F5+H5+I5</f>
        <v>33</v>
      </c>
      <c r="R5">
        <f t="shared" ref="R5:R65" si="2">K5+N5</f>
        <v>63</v>
      </c>
    </row>
    <row r="6" spans="1:19">
      <c r="A6">
        <v>180.12</v>
      </c>
      <c r="B6">
        <v>15</v>
      </c>
      <c r="C6">
        <v>5</v>
      </c>
      <c r="D6">
        <v>2</v>
      </c>
      <c r="E6">
        <v>5</v>
      </c>
      <c r="F6">
        <v>40</v>
      </c>
      <c r="G6">
        <v>4</v>
      </c>
      <c r="H6">
        <v>0</v>
      </c>
      <c r="I6">
        <v>13</v>
      </c>
      <c r="K6">
        <f t="shared" si="0"/>
        <v>22</v>
      </c>
      <c r="N6">
        <f t="shared" si="1"/>
        <v>53</v>
      </c>
      <c r="R6">
        <f t="shared" si="2"/>
        <v>75</v>
      </c>
    </row>
    <row r="7" spans="1:19">
      <c r="A7">
        <v>240.16</v>
      </c>
      <c r="B7">
        <v>21</v>
      </c>
      <c r="C7">
        <v>3</v>
      </c>
      <c r="D7">
        <v>4</v>
      </c>
      <c r="E7">
        <v>4</v>
      </c>
      <c r="F7">
        <v>44</v>
      </c>
      <c r="G7">
        <v>5</v>
      </c>
      <c r="H7">
        <v>3</v>
      </c>
      <c r="I7">
        <v>9</v>
      </c>
      <c r="K7">
        <f t="shared" si="0"/>
        <v>29</v>
      </c>
      <c r="N7">
        <f t="shared" si="1"/>
        <v>56</v>
      </c>
      <c r="R7">
        <f t="shared" si="2"/>
        <v>85</v>
      </c>
    </row>
    <row r="8" spans="1:19">
      <c r="A8">
        <v>300.2</v>
      </c>
      <c r="B8">
        <v>24</v>
      </c>
      <c r="C8">
        <v>2</v>
      </c>
      <c r="D8">
        <v>0</v>
      </c>
      <c r="E8">
        <v>5</v>
      </c>
      <c r="F8">
        <v>39</v>
      </c>
      <c r="G8">
        <v>1</v>
      </c>
      <c r="H8">
        <v>5</v>
      </c>
      <c r="I8">
        <v>22</v>
      </c>
      <c r="K8">
        <f t="shared" si="0"/>
        <v>29</v>
      </c>
      <c r="N8">
        <f t="shared" si="1"/>
        <v>66</v>
      </c>
      <c r="R8">
        <f t="shared" si="2"/>
        <v>95</v>
      </c>
    </row>
    <row r="9" spans="1:19">
      <c r="A9">
        <v>360.24</v>
      </c>
      <c r="B9">
        <v>18</v>
      </c>
      <c r="C9">
        <v>3</v>
      </c>
      <c r="D9">
        <v>2</v>
      </c>
      <c r="E9">
        <v>5</v>
      </c>
      <c r="F9">
        <v>34</v>
      </c>
      <c r="G9">
        <v>3</v>
      </c>
      <c r="H9">
        <v>1</v>
      </c>
      <c r="I9">
        <v>17</v>
      </c>
      <c r="K9">
        <f t="shared" si="0"/>
        <v>25</v>
      </c>
      <c r="N9">
        <f t="shared" si="1"/>
        <v>52</v>
      </c>
      <c r="R9">
        <f t="shared" si="2"/>
        <v>77</v>
      </c>
    </row>
    <row r="10" spans="1:19">
      <c r="A10">
        <v>420.28</v>
      </c>
      <c r="B10">
        <v>14</v>
      </c>
      <c r="C10">
        <v>1</v>
      </c>
      <c r="D10">
        <v>0</v>
      </c>
      <c r="E10">
        <v>4</v>
      </c>
      <c r="F10">
        <v>36</v>
      </c>
      <c r="G10">
        <v>5</v>
      </c>
      <c r="H10">
        <v>3</v>
      </c>
      <c r="I10">
        <v>16</v>
      </c>
      <c r="K10">
        <f t="shared" si="0"/>
        <v>18</v>
      </c>
      <c r="N10">
        <f t="shared" si="1"/>
        <v>55</v>
      </c>
      <c r="R10">
        <f t="shared" si="2"/>
        <v>73</v>
      </c>
    </row>
    <row r="11" spans="1:19">
      <c r="A11">
        <v>480.33</v>
      </c>
      <c r="B11">
        <v>22</v>
      </c>
      <c r="C11">
        <v>2</v>
      </c>
      <c r="D11">
        <v>1</v>
      </c>
      <c r="E11">
        <v>2</v>
      </c>
      <c r="F11">
        <v>33</v>
      </c>
      <c r="G11">
        <v>3</v>
      </c>
      <c r="H11">
        <v>1</v>
      </c>
      <c r="I11">
        <v>23</v>
      </c>
      <c r="K11">
        <f t="shared" si="0"/>
        <v>25</v>
      </c>
      <c r="N11">
        <f t="shared" si="1"/>
        <v>57</v>
      </c>
      <c r="R11">
        <f t="shared" si="2"/>
        <v>82</v>
      </c>
    </row>
    <row r="12" spans="1:19">
      <c r="A12">
        <v>540.37</v>
      </c>
      <c r="B12">
        <v>24</v>
      </c>
      <c r="C12">
        <v>1</v>
      </c>
      <c r="D12">
        <v>0</v>
      </c>
      <c r="E12">
        <v>5</v>
      </c>
      <c r="F12">
        <v>30</v>
      </c>
      <c r="G12">
        <v>2</v>
      </c>
      <c r="H12">
        <v>1</v>
      </c>
      <c r="I12">
        <v>16</v>
      </c>
      <c r="K12">
        <f t="shared" si="0"/>
        <v>29</v>
      </c>
      <c r="N12">
        <f t="shared" si="1"/>
        <v>47</v>
      </c>
      <c r="R12">
        <f t="shared" si="2"/>
        <v>76</v>
      </c>
    </row>
    <row r="13" spans="1:19">
      <c r="A13">
        <v>600.41</v>
      </c>
      <c r="B13">
        <v>24</v>
      </c>
      <c r="C13">
        <v>1</v>
      </c>
      <c r="D13">
        <v>0</v>
      </c>
      <c r="E13">
        <v>10</v>
      </c>
      <c r="F13">
        <v>39</v>
      </c>
      <c r="G13">
        <v>4</v>
      </c>
      <c r="H13">
        <v>1</v>
      </c>
      <c r="I13">
        <v>11</v>
      </c>
      <c r="K13">
        <f t="shared" si="0"/>
        <v>34</v>
      </c>
      <c r="N13">
        <f t="shared" si="1"/>
        <v>51</v>
      </c>
      <c r="R13">
        <f t="shared" si="2"/>
        <v>85</v>
      </c>
    </row>
    <row r="14" spans="1:19">
      <c r="A14">
        <v>660.45</v>
      </c>
      <c r="B14">
        <v>21</v>
      </c>
      <c r="C14">
        <v>8</v>
      </c>
      <c r="D14">
        <v>0</v>
      </c>
      <c r="E14">
        <v>6</v>
      </c>
      <c r="F14">
        <v>35</v>
      </c>
      <c r="G14">
        <v>-2</v>
      </c>
      <c r="H14">
        <v>1</v>
      </c>
      <c r="I14">
        <v>19</v>
      </c>
      <c r="K14">
        <f t="shared" si="0"/>
        <v>27</v>
      </c>
      <c r="N14">
        <f t="shared" si="1"/>
        <v>55</v>
      </c>
      <c r="R14">
        <f t="shared" si="2"/>
        <v>82</v>
      </c>
    </row>
    <row r="15" spans="1:19">
      <c r="A15">
        <v>720.49</v>
      </c>
      <c r="B15">
        <v>25</v>
      </c>
      <c r="C15">
        <v>1</v>
      </c>
      <c r="D15">
        <v>2</v>
      </c>
      <c r="E15">
        <v>7</v>
      </c>
      <c r="F15">
        <v>34</v>
      </c>
      <c r="G15">
        <v>5</v>
      </c>
      <c r="H15">
        <v>2</v>
      </c>
      <c r="I15">
        <v>18</v>
      </c>
      <c r="K15">
        <f t="shared" si="0"/>
        <v>34</v>
      </c>
      <c r="N15">
        <f t="shared" si="1"/>
        <v>54</v>
      </c>
      <c r="R15">
        <f t="shared" si="2"/>
        <v>88</v>
      </c>
    </row>
    <row r="16" spans="1:19">
      <c r="A16">
        <v>780.53</v>
      </c>
      <c r="B16">
        <v>16</v>
      </c>
      <c r="C16">
        <v>0</v>
      </c>
      <c r="D16">
        <v>2</v>
      </c>
      <c r="E16">
        <v>5</v>
      </c>
      <c r="F16">
        <v>27</v>
      </c>
      <c r="G16">
        <v>1</v>
      </c>
      <c r="H16">
        <v>7</v>
      </c>
      <c r="I16">
        <v>18</v>
      </c>
      <c r="K16">
        <f t="shared" si="0"/>
        <v>23</v>
      </c>
      <c r="N16">
        <f t="shared" si="1"/>
        <v>52</v>
      </c>
      <c r="R16">
        <f t="shared" si="2"/>
        <v>75</v>
      </c>
    </row>
    <row r="17" spans="1:18">
      <c r="A17">
        <v>840.57</v>
      </c>
      <c r="B17">
        <v>35</v>
      </c>
      <c r="C17">
        <v>3</v>
      </c>
      <c r="D17">
        <v>0</v>
      </c>
      <c r="E17">
        <v>3</v>
      </c>
      <c r="F17">
        <v>36</v>
      </c>
      <c r="G17">
        <v>5</v>
      </c>
      <c r="H17">
        <v>1</v>
      </c>
      <c r="I17">
        <v>20</v>
      </c>
      <c r="K17">
        <f t="shared" si="0"/>
        <v>38</v>
      </c>
      <c r="N17">
        <f t="shared" si="1"/>
        <v>57</v>
      </c>
      <c r="R17">
        <f t="shared" si="2"/>
        <v>95</v>
      </c>
    </row>
    <row r="18" spans="1:18">
      <c r="A18">
        <v>900.61</v>
      </c>
      <c r="B18">
        <v>25</v>
      </c>
      <c r="C18">
        <v>1</v>
      </c>
      <c r="D18">
        <v>2</v>
      </c>
      <c r="E18">
        <v>3</v>
      </c>
      <c r="F18">
        <v>46</v>
      </c>
      <c r="G18">
        <v>2</v>
      </c>
      <c r="H18">
        <v>2</v>
      </c>
      <c r="I18">
        <v>21</v>
      </c>
      <c r="K18">
        <f t="shared" si="0"/>
        <v>30</v>
      </c>
      <c r="N18">
        <f t="shared" si="1"/>
        <v>69</v>
      </c>
      <c r="R18">
        <f t="shared" si="2"/>
        <v>99</v>
      </c>
    </row>
    <row r="19" spans="1:18">
      <c r="A19">
        <v>960.65</v>
      </c>
      <c r="B19">
        <v>14</v>
      </c>
      <c r="C19">
        <v>1</v>
      </c>
      <c r="D19">
        <v>2</v>
      </c>
      <c r="E19">
        <v>4</v>
      </c>
      <c r="F19">
        <v>29</v>
      </c>
      <c r="G19">
        <v>3</v>
      </c>
      <c r="H19">
        <v>2</v>
      </c>
      <c r="I19">
        <v>12</v>
      </c>
      <c r="K19">
        <f t="shared" si="0"/>
        <v>20</v>
      </c>
      <c r="N19">
        <f t="shared" si="1"/>
        <v>43</v>
      </c>
      <c r="R19">
        <f t="shared" si="2"/>
        <v>63</v>
      </c>
    </row>
    <row r="20" spans="1:18">
      <c r="A20">
        <v>1020.69</v>
      </c>
      <c r="B20">
        <v>32</v>
      </c>
      <c r="C20">
        <v>3</v>
      </c>
      <c r="D20">
        <v>0</v>
      </c>
      <c r="E20">
        <v>6</v>
      </c>
      <c r="F20">
        <v>34</v>
      </c>
      <c r="G20">
        <v>2</v>
      </c>
      <c r="H20">
        <v>2</v>
      </c>
      <c r="I20">
        <v>13</v>
      </c>
      <c r="K20">
        <f t="shared" si="0"/>
        <v>38</v>
      </c>
      <c r="N20">
        <f t="shared" si="1"/>
        <v>49</v>
      </c>
      <c r="R20">
        <f t="shared" si="2"/>
        <v>87</v>
      </c>
    </row>
    <row r="21" spans="1:18">
      <c r="A21">
        <v>1080.73</v>
      </c>
      <c r="B21">
        <v>19</v>
      </c>
      <c r="C21">
        <v>2</v>
      </c>
      <c r="D21">
        <v>1</v>
      </c>
      <c r="E21">
        <v>5</v>
      </c>
      <c r="F21">
        <v>27</v>
      </c>
      <c r="G21">
        <v>5</v>
      </c>
      <c r="H21">
        <v>2</v>
      </c>
      <c r="I21">
        <v>22</v>
      </c>
      <c r="K21">
        <f t="shared" si="0"/>
        <v>25</v>
      </c>
      <c r="N21">
        <f t="shared" si="1"/>
        <v>51</v>
      </c>
      <c r="R21">
        <f t="shared" si="2"/>
        <v>76</v>
      </c>
    </row>
    <row r="22" spans="1:18">
      <c r="A22">
        <v>1140.77</v>
      </c>
      <c r="B22">
        <v>16</v>
      </c>
      <c r="C22">
        <v>2</v>
      </c>
      <c r="D22">
        <v>0</v>
      </c>
      <c r="E22">
        <v>10</v>
      </c>
      <c r="F22">
        <v>28</v>
      </c>
      <c r="G22">
        <v>1</v>
      </c>
      <c r="H22">
        <v>2</v>
      </c>
      <c r="I22">
        <v>25</v>
      </c>
      <c r="K22">
        <f t="shared" si="0"/>
        <v>26</v>
      </c>
      <c r="N22">
        <f t="shared" si="1"/>
        <v>55</v>
      </c>
      <c r="R22">
        <f t="shared" si="2"/>
        <v>81</v>
      </c>
    </row>
    <row r="23" spans="1:18">
      <c r="A23">
        <v>1200.81</v>
      </c>
      <c r="B23">
        <v>19</v>
      </c>
      <c r="C23">
        <v>5</v>
      </c>
      <c r="D23">
        <v>1</v>
      </c>
      <c r="E23">
        <v>3</v>
      </c>
      <c r="F23">
        <v>49</v>
      </c>
      <c r="G23">
        <v>0</v>
      </c>
      <c r="H23">
        <v>5</v>
      </c>
      <c r="I23">
        <v>16</v>
      </c>
      <c r="K23">
        <f t="shared" si="0"/>
        <v>23</v>
      </c>
      <c r="N23">
        <f t="shared" si="1"/>
        <v>70</v>
      </c>
      <c r="R23">
        <f t="shared" si="2"/>
        <v>93</v>
      </c>
    </row>
    <row r="24" spans="1:18">
      <c r="A24">
        <v>1260.8499999999999</v>
      </c>
      <c r="B24">
        <v>27</v>
      </c>
      <c r="C24">
        <v>2</v>
      </c>
      <c r="D24">
        <v>0</v>
      </c>
      <c r="E24">
        <v>5</v>
      </c>
      <c r="F24">
        <v>34</v>
      </c>
      <c r="G24">
        <v>9</v>
      </c>
      <c r="H24">
        <v>0</v>
      </c>
      <c r="I24">
        <v>21</v>
      </c>
      <c r="K24">
        <f t="shared" si="0"/>
        <v>32</v>
      </c>
      <c r="N24">
        <f t="shared" si="1"/>
        <v>55</v>
      </c>
      <c r="R24">
        <f t="shared" si="2"/>
        <v>87</v>
      </c>
    </row>
    <row r="25" spans="1:18">
      <c r="A25">
        <v>1320.89</v>
      </c>
      <c r="B25">
        <v>24</v>
      </c>
      <c r="C25">
        <v>2</v>
      </c>
      <c r="D25">
        <v>0</v>
      </c>
      <c r="E25">
        <v>7</v>
      </c>
      <c r="F25">
        <v>32</v>
      </c>
      <c r="G25">
        <v>5</v>
      </c>
      <c r="H25">
        <v>0</v>
      </c>
      <c r="I25">
        <v>14</v>
      </c>
      <c r="K25">
        <f t="shared" si="0"/>
        <v>31</v>
      </c>
      <c r="N25">
        <f t="shared" si="1"/>
        <v>46</v>
      </c>
      <c r="R25">
        <f t="shared" si="2"/>
        <v>77</v>
      </c>
    </row>
    <row r="26" spans="1:18">
      <c r="A26">
        <v>1380.94</v>
      </c>
      <c r="B26">
        <v>28</v>
      </c>
      <c r="C26">
        <v>1</v>
      </c>
      <c r="D26">
        <v>1</v>
      </c>
      <c r="E26">
        <v>5</v>
      </c>
      <c r="F26">
        <v>50</v>
      </c>
      <c r="G26">
        <v>3</v>
      </c>
      <c r="H26">
        <v>3</v>
      </c>
      <c r="I26">
        <v>22</v>
      </c>
      <c r="K26">
        <f t="shared" si="0"/>
        <v>34</v>
      </c>
      <c r="N26">
        <f t="shared" si="1"/>
        <v>75</v>
      </c>
      <c r="R26">
        <f t="shared" si="2"/>
        <v>109</v>
      </c>
    </row>
    <row r="27" spans="1:18">
      <c r="A27">
        <v>1440.98</v>
      </c>
      <c r="B27">
        <v>24</v>
      </c>
      <c r="C27">
        <v>1</v>
      </c>
      <c r="D27">
        <v>1</v>
      </c>
      <c r="E27">
        <v>1</v>
      </c>
      <c r="F27">
        <v>28</v>
      </c>
      <c r="G27">
        <v>7</v>
      </c>
      <c r="H27">
        <v>3</v>
      </c>
      <c r="I27">
        <v>25</v>
      </c>
      <c r="K27">
        <f t="shared" si="0"/>
        <v>26</v>
      </c>
      <c r="N27">
        <f t="shared" si="1"/>
        <v>56</v>
      </c>
      <c r="R27">
        <f t="shared" si="2"/>
        <v>82</v>
      </c>
    </row>
    <row r="28" spans="1:18">
      <c r="A28" s="2">
        <v>1500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>
        <v>1560.04</v>
      </c>
      <c r="B29">
        <v>24</v>
      </c>
      <c r="C29">
        <v>3</v>
      </c>
      <c r="D29">
        <v>0</v>
      </c>
      <c r="E29">
        <v>6</v>
      </c>
      <c r="F29">
        <v>30</v>
      </c>
      <c r="G29">
        <v>1</v>
      </c>
      <c r="H29">
        <v>1</v>
      </c>
      <c r="I29">
        <v>18</v>
      </c>
      <c r="K29">
        <f t="shared" si="0"/>
        <v>30</v>
      </c>
      <c r="N29">
        <f t="shared" si="1"/>
        <v>49</v>
      </c>
      <c r="R29">
        <f t="shared" si="2"/>
        <v>79</v>
      </c>
    </row>
    <row r="30" spans="1:18">
      <c r="A30">
        <v>1620.08</v>
      </c>
      <c r="B30">
        <v>17</v>
      </c>
      <c r="C30">
        <v>1</v>
      </c>
      <c r="D30">
        <v>2</v>
      </c>
      <c r="E30">
        <v>6</v>
      </c>
      <c r="F30">
        <v>37</v>
      </c>
      <c r="G30">
        <v>2</v>
      </c>
      <c r="H30">
        <v>3</v>
      </c>
      <c r="I30">
        <v>17</v>
      </c>
      <c r="K30">
        <f t="shared" si="0"/>
        <v>25</v>
      </c>
      <c r="N30">
        <f t="shared" si="1"/>
        <v>57</v>
      </c>
      <c r="R30">
        <f t="shared" si="2"/>
        <v>82</v>
      </c>
    </row>
    <row r="31" spans="1:18">
      <c r="A31">
        <v>1680.12</v>
      </c>
      <c r="B31">
        <v>27</v>
      </c>
      <c r="C31">
        <v>1</v>
      </c>
      <c r="D31">
        <v>0</v>
      </c>
      <c r="E31">
        <v>6</v>
      </c>
      <c r="F31">
        <v>35</v>
      </c>
      <c r="G31">
        <v>3</v>
      </c>
      <c r="H31">
        <v>2</v>
      </c>
      <c r="I31">
        <v>17</v>
      </c>
      <c r="K31">
        <f t="shared" si="0"/>
        <v>33</v>
      </c>
      <c r="N31">
        <f t="shared" si="1"/>
        <v>54</v>
      </c>
      <c r="R31">
        <f t="shared" si="2"/>
        <v>87</v>
      </c>
    </row>
    <row r="32" spans="1:18">
      <c r="A32">
        <v>1740.16</v>
      </c>
      <c r="B32">
        <v>23</v>
      </c>
      <c r="C32">
        <v>2</v>
      </c>
      <c r="D32">
        <v>0</v>
      </c>
      <c r="E32">
        <v>2</v>
      </c>
      <c r="F32">
        <v>26</v>
      </c>
      <c r="G32">
        <v>3</v>
      </c>
      <c r="H32">
        <v>3</v>
      </c>
      <c r="I32">
        <v>16</v>
      </c>
      <c r="K32">
        <f t="shared" si="0"/>
        <v>25</v>
      </c>
      <c r="N32">
        <f t="shared" si="1"/>
        <v>45</v>
      </c>
      <c r="R32">
        <f t="shared" si="2"/>
        <v>70</v>
      </c>
    </row>
    <row r="33" spans="1:18">
      <c r="A33">
        <v>1800.2</v>
      </c>
      <c r="B33">
        <v>26</v>
      </c>
      <c r="C33">
        <v>3</v>
      </c>
      <c r="D33">
        <v>0</v>
      </c>
      <c r="E33">
        <v>6</v>
      </c>
      <c r="F33">
        <v>40</v>
      </c>
      <c r="G33">
        <v>4</v>
      </c>
      <c r="H33">
        <v>1</v>
      </c>
      <c r="I33">
        <v>27</v>
      </c>
      <c r="K33">
        <f t="shared" si="0"/>
        <v>32</v>
      </c>
      <c r="N33">
        <f t="shared" si="1"/>
        <v>68</v>
      </c>
      <c r="R33">
        <f t="shared" si="2"/>
        <v>100</v>
      </c>
    </row>
    <row r="34" spans="1:18">
      <c r="A34">
        <v>1860.24</v>
      </c>
      <c r="B34">
        <v>10</v>
      </c>
      <c r="C34">
        <v>1</v>
      </c>
      <c r="D34">
        <v>1</v>
      </c>
      <c r="E34">
        <v>7</v>
      </c>
      <c r="F34">
        <v>20</v>
      </c>
      <c r="G34">
        <v>8</v>
      </c>
      <c r="H34">
        <v>3</v>
      </c>
      <c r="I34">
        <v>23</v>
      </c>
      <c r="K34">
        <f t="shared" si="0"/>
        <v>18</v>
      </c>
      <c r="N34">
        <f t="shared" si="1"/>
        <v>46</v>
      </c>
      <c r="R34">
        <f t="shared" si="2"/>
        <v>64</v>
      </c>
    </row>
    <row r="35" spans="1:18">
      <c r="A35">
        <v>1920.28</v>
      </c>
      <c r="B35">
        <v>25</v>
      </c>
      <c r="C35">
        <v>2</v>
      </c>
      <c r="D35">
        <v>1</v>
      </c>
      <c r="E35">
        <v>7</v>
      </c>
      <c r="F35">
        <v>42</v>
      </c>
      <c r="G35">
        <v>3</v>
      </c>
      <c r="H35">
        <v>0</v>
      </c>
      <c r="I35">
        <v>14</v>
      </c>
      <c r="K35">
        <f t="shared" si="0"/>
        <v>33</v>
      </c>
      <c r="N35">
        <f t="shared" si="1"/>
        <v>56</v>
      </c>
      <c r="R35">
        <f t="shared" si="2"/>
        <v>89</v>
      </c>
    </row>
    <row r="36" spans="1:18">
      <c r="A36">
        <v>1980.33</v>
      </c>
      <c r="B36">
        <v>16</v>
      </c>
      <c r="C36">
        <v>1</v>
      </c>
      <c r="D36">
        <v>2</v>
      </c>
      <c r="E36">
        <v>7</v>
      </c>
      <c r="F36">
        <v>38</v>
      </c>
      <c r="G36">
        <v>4</v>
      </c>
      <c r="H36">
        <v>1</v>
      </c>
      <c r="I36">
        <v>20</v>
      </c>
      <c r="K36">
        <f t="shared" si="0"/>
        <v>25</v>
      </c>
      <c r="N36">
        <f t="shared" si="1"/>
        <v>59</v>
      </c>
      <c r="R36">
        <f t="shared" si="2"/>
        <v>84</v>
      </c>
    </row>
    <row r="37" spans="1:18">
      <c r="A37">
        <v>2040.37</v>
      </c>
      <c r="B37">
        <v>18</v>
      </c>
      <c r="C37">
        <v>2</v>
      </c>
      <c r="D37">
        <v>2</v>
      </c>
      <c r="E37">
        <v>10</v>
      </c>
      <c r="F37">
        <v>29</v>
      </c>
      <c r="G37">
        <v>7</v>
      </c>
      <c r="H37">
        <v>1</v>
      </c>
      <c r="I37">
        <v>20</v>
      </c>
      <c r="K37">
        <f t="shared" si="0"/>
        <v>30</v>
      </c>
      <c r="N37">
        <f t="shared" si="1"/>
        <v>50</v>
      </c>
      <c r="R37">
        <f t="shared" si="2"/>
        <v>80</v>
      </c>
    </row>
    <row r="38" spans="1:18">
      <c r="A38">
        <v>2100.41</v>
      </c>
      <c r="B38">
        <v>26</v>
      </c>
      <c r="C38">
        <v>3</v>
      </c>
      <c r="D38">
        <v>3</v>
      </c>
      <c r="E38">
        <v>7</v>
      </c>
      <c r="F38">
        <v>54</v>
      </c>
      <c r="G38">
        <v>5</v>
      </c>
      <c r="H38">
        <v>0</v>
      </c>
      <c r="I38">
        <v>21</v>
      </c>
      <c r="K38">
        <f t="shared" si="0"/>
        <v>36</v>
      </c>
      <c r="N38">
        <f t="shared" si="1"/>
        <v>75</v>
      </c>
      <c r="R38">
        <f t="shared" si="2"/>
        <v>111</v>
      </c>
    </row>
    <row r="39" spans="1:18">
      <c r="A39">
        <v>2160.4499999999998</v>
      </c>
      <c r="B39">
        <v>23</v>
      </c>
      <c r="C39">
        <v>3</v>
      </c>
      <c r="D39">
        <v>1</v>
      </c>
      <c r="E39">
        <v>8</v>
      </c>
      <c r="F39">
        <v>41</v>
      </c>
      <c r="G39">
        <v>3</v>
      </c>
      <c r="H39">
        <v>1</v>
      </c>
      <c r="I39">
        <v>19</v>
      </c>
      <c r="K39">
        <f t="shared" si="0"/>
        <v>32</v>
      </c>
      <c r="N39">
        <f t="shared" si="1"/>
        <v>61</v>
      </c>
      <c r="R39">
        <f t="shared" si="2"/>
        <v>93</v>
      </c>
    </row>
    <row r="40" spans="1:18">
      <c r="A40">
        <v>2220.4899999999998</v>
      </c>
      <c r="B40">
        <v>29</v>
      </c>
      <c r="C40">
        <v>4</v>
      </c>
      <c r="D40">
        <v>1</v>
      </c>
      <c r="E40">
        <v>6</v>
      </c>
      <c r="F40">
        <v>35</v>
      </c>
      <c r="G40">
        <v>4</v>
      </c>
      <c r="H40">
        <v>3</v>
      </c>
      <c r="I40">
        <v>20</v>
      </c>
      <c r="K40">
        <f t="shared" si="0"/>
        <v>36</v>
      </c>
      <c r="N40">
        <f t="shared" si="1"/>
        <v>58</v>
      </c>
      <c r="R40">
        <f t="shared" si="2"/>
        <v>94</v>
      </c>
    </row>
    <row r="41" spans="1:18">
      <c r="A41">
        <v>2280.5299999999997</v>
      </c>
      <c r="B41">
        <v>23</v>
      </c>
      <c r="C41">
        <v>3</v>
      </c>
      <c r="D41">
        <v>3</v>
      </c>
      <c r="E41">
        <v>4</v>
      </c>
      <c r="F41">
        <v>29</v>
      </c>
      <c r="G41">
        <v>4</v>
      </c>
      <c r="H41">
        <v>1</v>
      </c>
      <c r="I41">
        <v>20</v>
      </c>
      <c r="K41">
        <f t="shared" si="0"/>
        <v>30</v>
      </c>
      <c r="N41">
        <f t="shared" si="1"/>
        <v>50</v>
      </c>
      <c r="R41">
        <f t="shared" si="2"/>
        <v>80</v>
      </c>
    </row>
    <row r="42" spans="1:18">
      <c r="A42">
        <v>2340.5700000000002</v>
      </c>
      <c r="B42">
        <v>25</v>
      </c>
      <c r="C42">
        <v>4</v>
      </c>
      <c r="D42">
        <v>1</v>
      </c>
      <c r="E42">
        <v>7</v>
      </c>
      <c r="F42">
        <v>28</v>
      </c>
      <c r="G42">
        <v>5</v>
      </c>
      <c r="H42">
        <v>0</v>
      </c>
      <c r="I42">
        <v>10</v>
      </c>
      <c r="K42">
        <f t="shared" si="0"/>
        <v>33</v>
      </c>
      <c r="N42">
        <f t="shared" si="1"/>
        <v>38</v>
      </c>
      <c r="R42">
        <f t="shared" si="2"/>
        <v>71</v>
      </c>
    </row>
    <row r="43" spans="1:18">
      <c r="A43">
        <v>2400.61</v>
      </c>
      <c r="B43">
        <v>17</v>
      </c>
      <c r="C43">
        <v>3</v>
      </c>
      <c r="D43">
        <v>0</v>
      </c>
      <c r="E43">
        <v>7</v>
      </c>
      <c r="F43">
        <v>36</v>
      </c>
      <c r="G43">
        <v>5</v>
      </c>
      <c r="H43">
        <v>0</v>
      </c>
      <c r="I43">
        <v>27</v>
      </c>
      <c r="K43">
        <f t="shared" si="0"/>
        <v>24</v>
      </c>
      <c r="N43">
        <f t="shared" si="1"/>
        <v>63</v>
      </c>
      <c r="R43">
        <f t="shared" si="2"/>
        <v>87</v>
      </c>
    </row>
    <row r="44" spans="1:18">
      <c r="A44">
        <v>2460.65</v>
      </c>
      <c r="B44">
        <v>27</v>
      </c>
      <c r="C44">
        <v>2</v>
      </c>
      <c r="D44">
        <v>0</v>
      </c>
      <c r="E44">
        <v>6</v>
      </c>
      <c r="F44">
        <v>34</v>
      </c>
      <c r="G44">
        <v>2</v>
      </c>
      <c r="H44">
        <v>3</v>
      </c>
      <c r="I44">
        <v>19</v>
      </c>
      <c r="K44">
        <f t="shared" si="0"/>
        <v>33</v>
      </c>
      <c r="N44">
        <f t="shared" si="1"/>
        <v>56</v>
      </c>
      <c r="R44">
        <f t="shared" si="2"/>
        <v>89</v>
      </c>
    </row>
    <row r="45" spans="1:18">
      <c r="A45">
        <v>2520.69</v>
      </c>
      <c r="B45">
        <v>35</v>
      </c>
      <c r="C45">
        <v>3</v>
      </c>
      <c r="D45">
        <v>1</v>
      </c>
      <c r="E45">
        <v>2</v>
      </c>
      <c r="F45">
        <v>28</v>
      </c>
      <c r="G45">
        <v>7</v>
      </c>
      <c r="H45">
        <v>2</v>
      </c>
      <c r="I45">
        <v>16</v>
      </c>
      <c r="K45">
        <f t="shared" si="0"/>
        <v>38</v>
      </c>
      <c r="N45">
        <f t="shared" si="1"/>
        <v>46</v>
      </c>
      <c r="R45">
        <f t="shared" si="2"/>
        <v>84</v>
      </c>
    </row>
    <row r="46" spans="1:18">
      <c r="A46">
        <v>2580.73</v>
      </c>
      <c r="B46">
        <v>27</v>
      </c>
      <c r="C46">
        <v>2</v>
      </c>
      <c r="D46">
        <v>1</v>
      </c>
      <c r="E46">
        <v>2</v>
      </c>
      <c r="F46">
        <v>30</v>
      </c>
      <c r="G46">
        <v>0</v>
      </c>
      <c r="H46">
        <v>2</v>
      </c>
      <c r="I46">
        <v>27</v>
      </c>
      <c r="K46">
        <f t="shared" si="0"/>
        <v>30</v>
      </c>
      <c r="N46">
        <f t="shared" si="1"/>
        <v>59</v>
      </c>
      <c r="R46">
        <f t="shared" si="2"/>
        <v>89</v>
      </c>
    </row>
    <row r="47" spans="1:18">
      <c r="A47">
        <v>2640.77</v>
      </c>
      <c r="B47">
        <v>34</v>
      </c>
      <c r="C47">
        <v>2</v>
      </c>
      <c r="D47">
        <v>1</v>
      </c>
      <c r="E47">
        <v>2</v>
      </c>
      <c r="F47">
        <v>34</v>
      </c>
      <c r="G47">
        <v>9</v>
      </c>
      <c r="H47">
        <v>2</v>
      </c>
      <c r="I47">
        <v>15</v>
      </c>
      <c r="K47">
        <f t="shared" si="0"/>
        <v>37</v>
      </c>
      <c r="N47">
        <f t="shared" si="1"/>
        <v>51</v>
      </c>
      <c r="R47">
        <f t="shared" si="2"/>
        <v>88</v>
      </c>
    </row>
    <row r="48" spans="1:18">
      <c r="A48">
        <v>2700.81</v>
      </c>
      <c r="B48">
        <v>25</v>
      </c>
      <c r="C48">
        <v>1</v>
      </c>
      <c r="D48">
        <v>0</v>
      </c>
      <c r="E48">
        <v>3</v>
      </c>
      <c r="F48">
        <v>29</v>
      </c>
      <c r="G48">
        <v>6</v>
      </c>
      <c r="H48">
        <v>2</v>
      </c>
      <c r="I48">
        <v>17</v>
      </c>
      <c r="K48">
        <f t="shared" si="0"/>
        <v>28</v>
      </c>
      <c r="N48">
        <f t="shared" si="1"/>
        <v>48</v>
      </c>
      <c r="R48">
        <f t="shared" si="2"/>
        <v>76</v>
      </c>
    </row>
    <row r="49" spans="1:18">
      <c r="A49">
        <v>2760.85</v>
      </c>
      <c r="B49">
        <v>23</v>
      </c>
      <c r="C49">
        <v>4</v>
      </c>
      <c r="D49">
        <v>3</v>
      </c>
      <c r="E49">
        <v>3</v>
      </c>
      <c r="F49">
        <v>30</v>
      </c>
      <c r="G49">
        <v>6</v>
      </c>
      <c r="H49">
        <v>2</v>
      </c>
      <c r="I49">
        <v>16</v>
      </c>
      <c r="K49">
        <f t="shared" si="0"/>
        <v>29</v>
      </c>
      <c r="N49">
        <f t="shared" si="1"/>
        <v>48</v>
      </c>
      <c r="R49">
        <f t="shared" si="2"/>
        <v>77</v>
      </c>
    </row>
    <row r="50" spans="1:18">
      <c r="A50">
        <v>2820.9</v>
      </c>
      <c r="B50">
        <v>29</v>
      </c>
      <c r="C50">
        <v>3</v>
      </c>
      <c r="D50">
        <v>0</v>
      </c>
      <c r="E50">
        <v>7</v>
      </c>
      <c r="F50">
        <v>25</v>
      </c>
      <c r="G50">
        <v>0</v>
      </c>
      <c r="H50">
        <v>0</v>
      </c>
      <c r="I50">
        <v>17</v>
      </c>
      <c r="K50">
        <f t="shared" si="0"/>
        <v>36</v>
      </c>
      <c r="N50">
        <f t="shared" si="1"/>
        <v>42</v>
      </c>
      <c r="R50">
        <f t="shared" si="2"/>
        <v>78</v>
      </c>
    </row>
    <row r="51" spans="1:18">
      <c r="A51">
        <v>2880.94</v>
      </c>
      <c r="B51">
        <v>25</v>
      </c>
      <c r="C51">
        <v>1</v>
      </c>
      <c r="D51">
        <v>1</v>
      </c>
      <c r="E51">
        <v>10</v>
      </c>
      <c r="F51">
        <v>33</v>
      </c>
      <c r="G51">
        <v>3</v>
      </c>
      <c r="H51">
        <v>1</v>
      </c>
      <c r="I51">
        <v>15</v>
      </c>
      <c r="K51">
        <f t="shared" si="0"/>
        <v>36</v>
      </c>
      <c r="N51">
        <f t="shared" si="1"/>
        <v>49</v>
      </c>
      <c r="R51">
        <f t="shared" si="2"/>
        <v>85</v>
      </c>
    </row>
    <row r="52" spans="1:18">
      <c r="A52">
        <v>2940.98</v>
      </c>
      <c r="B52">
        <v>25</v>
      </c>
      <c r="C52">
        <v>1</v>
      </c>
      <c r="D52">
        <v>1</v>
      </c>
      <c r="E52">
        <v>6</v>
      </c>
      <c r="F52">
        <v>33</v>
      </c>
      <c r="G52">
        <v>3</v>
      </c>
      <c r="H52">
        <v>1</v>
      </c>
      <c r="I52">
        <v>27</v>
      </c>
      <c r="K52">
        <f t="shared" si="0"/>
        <v>32</v>
      </c>
      <c r="N52">
        <f t="shared" si="1"/>
        <v>61</v>
      </c>
      <c r="R52">
        <f t="shared" si="2"/>
        <v>93</v>
      </c>
    </row>
    <row r="53" spans="1:18">
      <c r="A53">
        <v>3001.02</v>
      </c>
      <c r="B53">
        <v>30</v>
      </c>
      <c r="C53">
        <v>3</v>
      </c>
      <c r="D53">
        <v>1</v>
      </c>
      <c r="E53">
        <v>8</v>
      </c>
      <c r="F53">
        <v>25</v>
      </c>
      <c r="G53">
        <v>4</v>
      </c>
      <c r="H53">
        <v>3</v>
      </c>
      <c r="I53">
        <v>20</v>
      </c>
      <c r="K53">
        <f t="shared" si="0"/>
        <v>39</v>
      </c>
      <c r="N53">
        <f t="shared" si="1"/>
        <v>48</v>
      </c>
      <c r="R53">
        <f t="shared" si="2"/>
        <v>87</v>
      </c>
    </row>
    <row r="54" spans="1:18">
      <c r="A54">
        <v>3061.06</v>
      </c>
      <c r="B54">
        <v>28</v>
      </c>
      <c r="C54">
        <v>2</v>
      </c>
      <c r="D54">
        <v>0</v>
      </c>
      <c r="E54">
        <v>3</v>
      </c>
      <c r="F54">
        <v>39</v>
      </c>
      <c r="G54">
        <v>2</v>
      </c>
      <c r="H54">
        <v>2</v>
      </c>
      <c r="I54">
        <v>15</v>
      </c>
      <c r="K54">
        <f t="shared" si="0"/>
        <v>31</v>
      </c>
      <c r="N54">
        <f t="shared" si="1"/>
        <v>56</v>
      </c>
      <c r="R54">
        <f t="shared" si="2"/>
        <v>87</v>
      </c>
    </row>
    <row r="55" spans="1:18">
      <c r="A55">
        <v>3121.1</v>
      </c>
      <c r="B55">
        <v>12</v>
      </c>
      <c r="C55">
        <v>3</v>
      </c>
      <c r="D55">
        <v>0</v>
      </c>
      <c r="E55">
        <v>2</v>
      </c>
      <c r="F55">
        <v>25</v>
      </c>
      <c r="G55">
        <v>7</v>
      </c>
      <c r="H55">
        <v>0</v>
      </c>
      <c r="I55">
        <v>18</v>
      </c>
      <c r="K55">
        <f t="shared" si="0"/>
        <v>14</v>
      </c>
      <c r="N55">
        <f t="shared" si="1"/>
        <v>43</v>
      </c>
      <c r="R55">
        <f t="shared" si="2"/>
        <v>57</v>
      </c>
    </row>
    <row r="56" spans="1:18">
      <c r="A56">
        <v>3181.1400000000003</v>
      </c>
      <c r="B56">
        <v>26</v>
      </c>
      <c r="C56">
        <v>0</v>
      </c>
      <c r="D56">
        <v>1</v>
      </c>
      <c r="E56">
        <v>5</v>
      </c>
      <c r="F56">
        <v>42</v>
      </c>
      <c r="G56">
        <v>6</v>
      </c>
      <c r="H56">
        <v>2</v>
      </c>
      <c r="I56">
        <v>12</v>
      </c>
      <c r="K56">
        <f t="shared" si="0"/>
        <v>32</v>
      </c>
      <c r="N56">
        <f t="shared" si="1"/>
        <v>56</v>
      </c>
      <c r="R56">
        <f t="shared" si="2"/>
        <v>88</v>
      </c>
    </row>
    <row r="57" spans="1:18">
      <c r="A57">
        <v>3241.1800000000003</v>
      </c>
      <c r="B57">
        <v>22</v>
      </c>
      <c r="C57">
        <v>3</v>
      </c>
      <c r="D57">
        <v>0</v>
      </c>
      <c r="E57">
        <v>5</v>
      </c>
      <c r="F57">
        <v>20</v>
      </c>
      <c r="G57">
        <v>2</v>
      </c>
      <c r="H57">
        <v>0</v>
      </c>
      <c r="I57">
        <v>12</v>
      </c>
      <c r="K57">
        <f t="shared" si="0"/>
        <v>27</v>
      </c>
      <c r="N57">
        <f t="shared" si="1"/>
        <v>32</v>
      </c>
      <c r="R57">
        <f t="shared" si="2"/>
        <v>59</v>
      </c>
    </row>
    <row r="58" spans="1:18">
      <c r="A58">
        <v>3301.2200000000003</v>
      </c>
      <c r="B58">
        <v>17</v>
      </c>
      <c r="C58">
        <v>2</v>
      </c>
      <c r="D58">
        <v>1</v>
      </c>
      <c r="E58">
        <v>7</v>
      </c>
      <c r="F58">
        <v>27</v>
      </c>
      <c r="G58">
        <v>6</v>
      </c>
      <c r="H58">
        <v>2</v>
      </c>
      <c r="I58">
        <v>12</v>
      </c>
      <c r="K58">
        <f t="shared" si="0"/>
        <v>25</v>
      </c>
      <c r="N58">
        <f t="shared" si="1"/>
        <v>41</v>
      </c>
      <c r="R58">
        <f t="shared" si="2"/>
        <v>66</v>
      </c>
    </row>
    <row r="59" spans="1:18">
      <c r="A59">
        <v>3361.26</v>
      </c>
      <c r="B59">
        <v>25</v>
      </c>
      <c r="C59">
        <v>5</v>
      </c>
      <c r="D59">
        <v>0</v>
      </c>
      <c r="E59">
        <v>6</v>
      </c>
      <c r="F59">
        <v>37</v>
      </c>
      <c r="G59">
        <v>1</v>
      </c>
      <c r="H59">
        <v>4</v>
      </c>
      <c r="I59">
        <v>18</v>
      </c>
      <c r="K59">
        <f t="shared" si="0"/>
        <v>31</v>
      </c>
      <c r="N59">
        <f t="shared" si="1"/>
        <v>59</v>
      </c>
      <c r="R59">
        <f t="shared" si="2"/>
        <v>90</v>
      </c>
    </row>
    <row r="60" spans="1:18">
      <c r="A60">
        <v>3421.3</v>
      </c>
      <c r="B60">
        <v>34</v>
      </c>
      <c r="C60">
        <v>3</v>
      </c>
      <c r="D60">
        <v>0</v>
      </c>
      <c r="E60">
        <v>3</v>
      </c>
      <c r="F60">
        <v>25</v>
      </c>
      <c r="G60">
        <v>6</v>
      </c>
      <c r="H60">
        <v>2</v>
      </c>
      <c r="I60">
        <v>17</v>
      </c>
      <c r="K60">
        <f t="shared" si="0"/>
        <v>37</v>
      </c>
      <c r="N60">
        <f t="shared" si="1"/>
        <v>44</v>
      </c>
      <c r="R60">
        <f t="shared" si="2"/>
        <v>81</v>
      </c>
    </row>
    <row r="61" spans="1:18">
      <c r="A61">
        <v>3481.34</v>
      </c>
      <c r="B61">
        <v>18</v>
      </c>
      <c r="C61">
        <v>6</v>
      </c>
      <c r="D61">
        <v>2</v>
      </c>
      <c r="E61">
        <v>9</v>
      </c>
      <c r="F61">
        <v>33</v>
      </c>
      <c r="G61">
        <v>3</v>
      </c>
      <c r="H61">
        <v>2</v>
      </c>
      <c r="I61">
        <v>13</v>
      </c>
      <c r="K61">
        <f t="shared" si="0"/>
        <v>29</v>
      </c>
      <c r="N61">
        <f t="shared" si="1"/>
        <v>48</v>
      </c>
      <c r="R61">
        <f t="shared" si="2"/>
        <v>77</v>
      </c>
    </row>
    <row r="62" spans="1:18">
      <c r="A62">
        <v>3539.9700000000003</v>
      </c>
      <c r="B62">
        <v>25</v>
      </c>
      <c r="C62">
        <v>2</v>
      </c>
      <c r="D62">
        <v>2</v>
      </c>
      <c r="E62">
        <v>7</v>
      </c>
      <c r="F62">
        <v>29</v>
      </c>
      <c r="G62">
        <v>3</v>
      </c>
      <c r="H62">
        <v>2</v>
      </c>
      <c r="I62">
        <v>17</v>
      </c>
      <c r="K62">
        <f t="shared" si="0"/>
        <v>34</v>
      </c>
      <c r="N62">
        <f t="shared" si="1"/>
        <v>48</v>
      </c>
      <c r="R62">
        <f t="shared" si="2"/>
        <v>82</v>
      </c>
    </row>
    <row r="63" spans="1:18">
      <c r="A63" s="2">
        <v>3600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>
        <v>3660.04</v>
      </c>
      <c r="B64">
        <v>23</v>
      </c>
      <c r="C64">
        <v>1</v>
      </c>
      <c r="D64">
        <v>1</v>
      </c>
      <c r="E64">
        <v>6</v>
      </c>
      <c r="F64">
        <v>39</v>
      </c>
      <c r="G64">
        <v>11</v>
      </c>
      <c r="H64">
        <v>1</v>
      </c>
      <c r="I64">
        <v>21</v>
      </c>
      <c r="K64">
        <f t="shared" si="0"/>
        <v>30</v>
      </c>
      <c r="N64">
        <f t="shared" si="1"/>
        <v>61</v>
      </c>
      <c r="R64">
        <f t="shared" si="2"/>
        <v>91</v>
      </c>
    </row>
    <row r="65" spans="1:18">
      <c r="A65">
        <v>3720.08</v>
      </c>
      <c r="B65">
        <v>22</v>
      </c>
      <c r="C65">
        <v>5</v>
      </c>
      <c r="D65">
        <v>0</v>
      </c>
      <c r="E65">
        <v>5</v>
      </c>
      <c r="F65">
        <v>37</v>
      </c>
      <c r="G65">
        <v>7</v>
      </c>
      <c r="H65">
        <v>5</v>
      </c>
      <c r="I65">
        <v>15</v>
      </c>
      <c r="K65">
        <f t="shared" si="0"/>
        <v>27</v>
      </c>
      <c r="N65">
        <f t="shared" si="1"/>
        <v>57</v>
      </c>
      <c r="R65">
        <f t="shared" si="2"/>
        <v>84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3"/>
  <sheetViews>
    <sheetView topLeftCell="A44" workbookViewId="0">
      <selection activeCell="Y62" sqref="Y62:AF63"/>
    </sheetView>
  </sheetViews>
  <sheetFormatPr defaultRowHeight="16.149999999999999"/>
  <sheetData>
    <row r="1" spans="1:3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32">
      <c r="A2" s="1">
        <v>46108.815601851849</v>
      </c>
      <c r="B2">
        <v>60.04</v>
      </c>
      <c r="C2">
        <v>21</v>
      </c>
      <c r="D2">
        <v>1</v>
      </c>
      <c r="E2">
        <v>3</v>
      </c>
      <c r="F2">
        <v>2</v>
      </c>
      <c r="G2">
        <v>37</v>
      </c>
      <c r="H2">
        <v>3</v>
      </c>
      <c r="I2">
        <v>2</v>
      </c>
      <c r="J2">
        <v>11</v>
      </c>
      <c r="K2">
        <v>3</v>
      </c>
      <c r="L2">
        <v>1</v>
      </c>
      <c r="M2">
        <v>0</v>
      </c>
      <c r="N2">
        <v>0</v>
      </c>
      <c r="P2">
        <f>C2+K2</f>
        <v>24</v>
      </c>
      <c r="Q2">
        <f t="shared" ref="Q2:S2" si="0">D2+L2</f>
        <v>2</v>
      </c>
      <c r="R2">
        <f t="shared" si="0"/>
        <v>3</v>
      </c>
      <c r="S2">
        <f t="shared" si="0"/>
        <v>2</v>
      </c>
      <c r="T2">
        <f>G2-K2</f>
        <v>34</v>
      </c>
      <c r="U2">
        <f t="shared" ref="U2:W2" si="1">H2-L2</f>
        <v>2</v>
      </c>
      <c r="V2">
        <f t="shared" si="1"/>
        <v>2</v>
      </c>
      <c r="W2">
        <f t="shared" si="1"/>
        <v>11</v>
      </c>
      <c r="Y2">
        <f>P2-P1</f>
        <v>24</v>
      </c>
      <c r="Z2">
        <f t="shared" ref="Z2:AF2" si="2">Q2-Q1</f>
        <v>2</v>
      </c>
      <c r="AA2">
        <f t="shared" si="2"/>
        <v>3</v>
      </c>
      <c r="AB2">
        <f t="shared" si="2"/>
        <v>2</v>
      </c>
      <c r="AC2">
        <f t="shared" si="2"/>
        <v>34</v>
      </c>
      <c r="AD2">
        <f t="shared" si="2"/>
        <v>2</v>
      </c>
      <c r="AE2">
        <f t="shared" si="2"/>
        <v>2</v>
      </c>
      <c r="AF2">
        <f t="shared" si="2"/>
        <v>11</v>
      </c>
    </row>
    <row r="3" spans="1:32">
      <c r="A3" s="1">
        <v>46108.816979166666</v>
      </c>
      <c r="B3">
        <v>120.08</v>
      </c>
      <c r="C3">
        <v>43</v>
      </c>
      <c r="D3">
        <v>1</v>
      </c>
      <c r="E3">
        <v>4</v>
      </c>
      <c r="F3">
        <v>8</v>
      </c>
      <c r="G3">
        <v>55</v>
      </c>
      <c r="H3">
        <v>7</v>
      </c>
      <c r="I3">
        <v>3</v>
      </c>
      <c r="J3">
        <v>26</v>
      </c>
      <c r="K3">
        <v>4</v>
      </c>
      <c r="L3">
        <v>3</v>
      </c>
      <c r="M3">
        <v>0</v>
      </c>
      <c r="N3">
        <v>0</v>
      </c>
      <c r="P3">
        <f t="shared" ref="P3:P60" si="3">C3+K3</f>
        <v>47</v>
      </c>
      <c r="Q3">
        <f t="shared" ref="Q3:Q60" si="4">D3+L3</f>
        <v>4</v>
      </c>
      <c r="R3">
        <f t="shared" ref="R3:R60" si="5">E3+M3</f>
        <v>4</v>
      </c>
      <c r="S3">
        <f t="shared" ref="S3:S60" si="6">F3+N3</f>
        <v>8</v>
      </c>
      <c r="T3">
        <f t="shared" ref="T3:T60" si="7">G3-K3</f>
        <v>51</v>
      </c>
      <c r="U3">
        <f t="shared" ref="U3:U60" si="8">H3-L3</f>
        <v>4</v>
      </c>
      <c r="V3">
        <f t="shared" ref="V3:V60" si="9">I3-M3</f>
        <v>3</v>
      </c>
      <c r="W3">
        <f t="shared" ref="W3:W60" si="10">J3-N3</f>
        <v>26</v>
      </c>
      <c r="Y3">
        <f t="shared" ref="Y3:Y60" si="11">P3-P2</f>
        <v>23</v>
      </c>
      <c r="Z3">
        <f t="shared" ref="Z3:Z60" si="12">Q3-Q2</f>
        <v>2</v>
      </c>
      <c r="AA3">
        <f t="shared" ref="AA3:AA60" si="13">R3-R2</f>
        <v>1</v>
      </c>
      <c r="AB3">
        <f t="shared" ref="AB3:AB60" si="14">S3-S2</f>
        <v>6</v>
      </c>
      <c r="AC3">
        <f t="shared" ref="AC3:AC60" si="15">T3-T2</f>
        <v>17</v>
      </c>
      <c r="AD3">
        <f t="shared" ref="AD3:AD60" si="16">U3-U2</f>
        <v>2</v>
      </c>
      <c r="AE3">
        <f t="shared" ref="AE3:AE60" si="17">V3-V2</f>
        <v>1</v>
      </c>
      <c r="AF3">
        <f t="shared" ref="AF3:AF60" si="18">W3-W2</f>
        <v>15</v>
      </c>
    </row>
    <row r="4" spans="1:32">
      <c r="A4" s="1">
        <v>46108.81827546296</v>
      </c>
      <c r="B4">
        <v>180.12</v>
      </c>
      <c r="C4">
        <v>55</v>
      </c>
      <c r="D4">
        <v>2</v>
      </c>
      <c r="E4">
        <v>6</v>
      </c>
      <c r="F4">
        <v>13</v>
      </c>
      <c r="G4">
        <v>98</v>
      </c>
      <c r="H4">
        <v>15</v>
      </c>
      <c r="I4">
        <v>3</v>
      </c>
      <c r="J4">
        <v>39</v>
      </c>
      <c r="K4">
        <v>7</v>
      </c>
      <c r="L4">
        <v>7</v>
      </c>
      <c r="M4">
        <v>0</v>
      </c>
      <c r="N4">
        <v>0</v>
      </c>
      <c r="P4">
        <f t="shared" si="3"/>
        <v>62</v>
      </c>
      <c r="Q4">
        <f t="shared" si="4"/>
        <v>9</v>
      </c>
      <c r="R4">
        <f t="shared" si="5"/>
        <v>6</v>
      </c>
      <c r="S4">
        <f t="shared" si="6"/>
        <v>13</v>
      </c>
      <c r="T4">
        <f t="shared" si="7"/>
        <v>91</v>
      </c>
      <c r="U4">
        <f t="shared" si="8"/>
        <v>8</v>
      </c>
      <c r="V4">
        <f t="shared" si="9"/>
        <v>3</v>
      </c>
      <c r="W4">
        <f t="shared" si="10"/>
        <v>39</v>
      </c>
      <c r="Y4">
        <f t="shared" si="11"/>
        <v>15</v>
      </c>
      <c r="Z4">
        <f t="shared" si="12"/>
        <v>5</v>
      </c>
      <c r="AA4">
        <f t="shared" si="13"/>
        <v>2</v>
      </c>
      <c r="AB4">
        <f t="shared" si="14"/>
        <v>5</v>
      </c>
      <c r="AC4">
        <f t="shared" si="15"/>
        <v>40</v>
      </c>
      <c r="AD4">
        <f t="shared" si="16"/>
        <v>4</v>
      </c>
      <c r="AE4">
        <f t="shared" si="17"/>
        <v>0</v>
      </c>
      <c r="AF4">
        <f t="shared" si="18"/>
        <v>13</v>
      </c>
    </row>
    <row r="5" spans="1:32">
      <c r="A5" s="1">
        <v>46108.819537037038</v>
      </c>
      <c r="B5">
        <v>240.16</v>
      </c>
      <c r="C5">
        <v>72</v>
      </c>
      <c r="D5">
        <v>3</v>
      </c>
      <c r="E5">
        <v>10</v>
      </c>
      <c r="F5">
        <v>17</v>
      </c>
      <c r="G5">
        <v>146</v>
      </c>
      <c r="H5">
        <v>22</v>
      </c>
      <c r="I5">
        <v>6</v>
      </c>
      <c r="J5">
        <v>48</v>
      </c>
      <c r="K5">
        <v>11</v>
      </c>
      <c r="L5">
        <v>9</v>
      </c>
      <c r="M5">
        <v>0</v>
      </c>
      <c r="N5">
        <v>0</v>
      </c>
      <c r="P5">
        <f t="shared" si="3"/>
        <v>83</v>
      </c>
      <c r="Q5">
        <f t="shared" si="4"/>
        <v>12</v>
      </c>
      <c r="R5">
        <f t="shared" si="5"/>
        <v>10</v>
      </c>
      <c r="S5">
        <f t="shared" si="6"/>
        <v>17</v>
      </c>
      <c r="T5">
        <f t="shared" si="7"/>
        <v>135</v>
      </c>
      <c r="U5">
        <f t="shared" si="8"/>
        <v>13</v>
      </c>
      <c r="V5">
        <f t="shared" si="9"/>
        <v>6</v>
      </c>
      <c r="W5">
        <f t="shared" si="10"/>
        <v>48</v>
      </c>
      <c r="Y5">
        <f t="shared" si="11"/>
        <v>21</v>
      </c>
      <c r="Z5">
        <f t="shared" si="12"/>
        <v>3</v>
      </c>
      <c r="AA5">
        <f t="shared" si="13"/>
        <v>4</v>
      </c>
      <c r="AB5">
        <f t="shared" si="14"/>
        <v>4</v>
      </c>
      <c r="AC5">
        <f t="shared" si="15"/>
        <v>44</v>
      </c>
      <c r="AD5">
        <f t="shared" si="16"/>
        <v>5</v>
      </c>
      <c r="AE5">
        <f t="shared" si="17"/>
        <v>3</v>
      </c>
      <c r="AF5">
        <f t="shared" si="18"/>
        <v>9</v>
      </c>
    </row>
    <row r="6" spans="1:32">
      <c r="A6" s="1">
        <v>46108.820844907408</v>
      </c>
      <c r="B6">
        <v>300.2</v>
      </c>
      <c r="C6">
        <v>94</v>
      </c>
      <c r="D6">
        <v>5</v>
      </c>
      <c r="E6">
        <v>10</v>
      </c>
      <c r="F6">
        <v>22</v>
      </c>
      <c r="G6">
        <v>187</v>
      </c>
      <c r="H6">
        <v>23</v>
      </c>
      <c r="I6">
        <v>11</v>
      </c>
      <c r="J6">
        <v>70</v>
      </c>
      <c r="K6">
        <v>13</v>
      </c>
      <c r="L6">
        <v>9</v>
      </c>
      <c r="M6">
        <v>0</v>
      </c>
      <c r="N6">
        <v>0</v>
      </c>
      <c r="P6">
        <f t="shared" si="3"/>
        <v>107</v>
      </c>
      <c r="Q6">
        <f t="shared" si="4"/>
        <v>14</v>
      </c>
      <c r="R6">
        <f t="shared" si="5"/>
        <v>10</v>
      </c>
      <c r="S6">
        <f t="shared" si="6"/>
        <v>22</v>
      </c>
      <c r="T6">
        <f t="shared" si="7"/>
        <v>174</v>
      </c>
      <c r="U6">
        <f t="shared" si="8"/>
        <v>14</v>
      </c>
      <c r="V6">
        <f t="shared" si="9"/>
        <v>11</v>
      </c>
      <c r="W6">
        <f t="shared" si="10"/>
        <v>70</v>
      </c>
      <c r="Y6">
        <f t="shared" si="11"/>
        <v>24</v>
      </c>
      <c r="Z6">
        <f t="shared" si="12"/>
        <v>2</v>
      </c>
      <c r="AA6">
        <f t="shared" si="13"/>
        <v>0</v>
      </c>
      <c r="AB6">
        <f t="shared" si="14"/>
        <v>5</v>
      </c>
      <c r="AC6">
        <f t="shared" si="15"/>
        <v>39</v>
      </c>
      <c r="AD6">
        <f t="shared" si="16"/>
        <v>1</v>
      </c>
      <c r="AE6">
        <f t="shared" si="17"/>
        <v>5</v>
      </c>
      <c r="AF6">
        <f t="shared" si="18"/>
        <v>22</v>
      </c>
    </row>
    <row r="7" spans="1:32">
      <c r="A7" s="1">
        <v>46108.822094907409</v>
      </c>
      <c r="B7">
        <v>360.24</v>
      </c>
      <c r="C7">
        <v>109</v>
      </c>
      <c r="D7">
        <v>8</v>
      </c>
      <c r="E7">
        <v>11</v>
      </c>
      <c r="F7">
        <v>26</v>
      </c>
      <c r="G7">
        <v>224</v>
      </c>
      <c r="H7">
        <v>26</v>
      </c>
      <c r="I7">
        <v>13</v>
      </c>
      <c r="J7">
        <v>88</v>
      </c>
      <c r="K7">
        <v>16</v>
      </c>
      <c r="L7">
        <v>9</v>
      </c>
      <c r="M7">
        <v>1</v>
      </c>
      <c r="N7">
        <v>1</v>
      </c>
      <c r="P7">
        <f t="shared" si="3"/>
        <v>125</v>
      </c>
      <c r="Q7">
        <f t="shared" si="4"/>
        <v>17</v>
      </c>
      <c r="R7">
        <f t="shared" si="5"/>
        <v>12</v>
      </c>
      <c r="S7">
        <f t="shared" si="6"/>
        <v>27</v>
      </c>
      <c r="T7">
        <f t="shared" si="7"/>
        <v>208</v>
      </c>
      <c r="U7">
        <f t="shared" si="8"/>
        <v>17</v>
      </c>
      <c r="V7">
        <f t="shared" si="9"/>
        <v>12</v>
      </c>
      <c r="W7">
        <f t="shared" si="10"/>
        <v>87</v>
      </c>
      <c r="Y7">
        <f t="shared" si="11"/>
        <v>18</v>
      </c>
      <c r="Z7">
        <f t="shared" si="12"/>
        <v>3</v>
      </c>
      <c r="AA7">
        <f t="shared" si="13"/>
        <v>2</v>
      </c>
      <c r="AB7">
        <f t="shared" si="14"/>
        <v>5</v>
      </c>
      <c r="AC7">
        <f t="shared" si="15"/>
        <v>34</v>
      </c>
      <c r="AD7">
        <f t="shared" si="16"/>
        <v>3</v>
      </c>
      <c r="AE7">
        <f t="shared" si="17"/>
        <v>1</v>
      </c>
      <c r="AF7">
        <f t="shared" si="18"/>
        <v>17</v>
      </c>
    </row>
    <row r="8" spans="1:32">
      <c r="A8" s="1">
        <v>46108.823368055557</v>
      </c>
      <c r="B8">
        <v>420.28</v>
      </c>
      <c r="C8">
        <v>119</v>
      </c>
      <c r="D8">
        <v>9</v>
      </c>
      <c r="E8">
        <v>11</v>
      </c>
      <c r="F8">
        <v>30</v>
      </c>
      <c r="G8">
        <v>264</v>
      </c>
      <c r="H8">
        <v>31</v>
      </c>
      <c r="I8">
        <v>16</v>
      </c>
      <c r="J8">
        <v>104</v>
      </c>
      <c r="K8">
        <v>20</v>
      </c>
      <c r="L8">
        <v>9</v>
      </c>
      <c r="M8">
        <v>1</v>
      </c>
      <c r="N8">
        <v>1</v>
      </c>
      <c r="P8">
        <f t="shared" si="3"/>
        <v>139</v>
      </c>
      <c r="Q8">
        <f t="shared" si="4"/>
        <v>18</v>
      </c>
      <c r="R8">
        <f t="shared" si="5"/>
        <v>12</v>
      </c>
      <c r="S8">
        <f t="shared" si="6"/>
        <v>31</v>
      </c>
      <c r="T8">
        <f t="shared" si="7"/>
        <v>244</v>
      </c>
      <c r="U8">
        <f t="shared" si="8"/>
        <v>22</v>
      </c>
      <c r="V8">
        <f t="shared" si="9"/>
        <v>15</v>
      </c>
      <c r="W8">
        <f t="shared" si="10"/>
        <v>103</v>
      </c>
      <c r="Y8">
        <f t="shared" si="11"/>
        <v>14</v>
      </c>
      <c r="Z8">
        <f t="shared" si="12"/>
        <v>1</v>
      </c>
      <c r="AA8">
        <f t="shared" si="13"/>
        <v>0</v>
      </c>
      <c r="AB8">
        <f t="shared" si="14"/>
        <v>4</v>
      </c>
      <c r="AC8">
        <f t="shared" si="15"/>
        <v>36</v>
      </c>
      <c r="AD8">
        <f t="shared" si="16"/>
        <v>5</v>
      </c>
      <c r="AE8">
        <f t="shared" si="17"/>
        <v>3</v>
      </c>
      <c r="AF8">
        <f t="shared" si="18"/>
        <v>16</v>
      </c>
    </row>
    <row r="9" spans="1:32">
      <c r="A9" s="1">
        <v>46108.824675925927</v>
      </c>
      <c r="B9">
        <v>480.33</v>
      </c>
      <c r="C9">
        <v>138</v>
      </c>
      <c r="D9">
        <v>11</v>
      </c>
      <c r="E9">
        <v>12</v>
      </c>
      <c r="F9">
        <v>32</v>
      </c>
      <c r="G9">
        <v>300</v>
      </c>
      <c r="H9">
        <v>34</v>
      </c>
      <c r="I9">
        <v>17</v>
      </c>
      <c r="J9">
        <v>127</v>
      </c>
      <c r="K9">
        <v>23</v>
      </c>
      <c r="L9">
        <v>9</v>
      </c>
      <c r="M9">
        <v>1</v>
      </c>
      <c r="N9">
        <v>1</v>
      </c>
      <c r="P9">
        <f t="shared" si="3"/>
        <v>161</v>
      </c>
      <c r="Q9">
        <f t="shared" si="4"/>
        <v>20</v>
      </c>
      <c r="R9">
        <f t="shared" si="5"/>
        <v>13</v>
      </c>
      <c r="S9">
        <f t="shared" si="6"/>
        <v>33</v>
      </c>
      <c r="T9">
        <f t="shared" si="7"/>
        <v>277</v>
      </c>
      <c r="U9">
        <f t="shared" si="8"/>
        <v>25</v>
      </c>
      <c r="V9">
        <f t="shared" si="9"/>
        <v>16</v>
      </c>
      <c r="W9">
        <f t="shared" si="10"/>
        <v>126</v>
      </c>
      <c r="Y9">
        <f t="shared" si="11"/>
        <v>22</v>
      </c>
      <c r="Z9">
        <f t="shared" si="12"/>
        <v>2</v>
      </c>
      <c r="AA9">
        <f t="shared" si="13"/>
        <v>1</v>
      </c>
      <c r="AB9">
        <f t="shared" si="14"/>
        <v>2</v>
      </c>
      <c r="AC9">
        <f t="shared" si="15"/>
        <v>33</v>
      </c>
      <c r="AD9">
        <f t="shared" si="16"/>
        <v>3</v>
      </c>
      <c r="AE9">
        <f t="shared" si="17"/>
        <v>1</v>
      </c>
      <c r="AF9">
        <f t="shared" si="18"/>
        <v>23</v>
      </c>
    </row>
    <row r="10" spans="1:32">
      <c r="A10" s="1">
        <v>46108.825925925928</v>
      </c>
      <c r="B10">
        <v>540.37</v>
      </c>
      <c r="C10">
        <v>161</v>
      </c>
      <c r="D10">
        <v>12</v>
      </c>
      <c r="E10">
        <v>12</v>
      </c>
      <c r="F10">
        <v>37</v>
      </c>
      <c r="G10">
        <v>331</v>
      </c>
      <c r="H10">
        <v>36</v>
      </c>
      <c r="I10">
        <v>18</v>
      </c>
      <c r="J10">
        <v>143</v>
      </c>
      <c r="K10">
        <v>24</v>
      </c>
      <c r="L10">
        <v>9</v>
      </c>
      <c r="M10">
        <v>1</v>
      </c>
      <c r="N10">
        <v>1</v>
      </c>
      <c r="P10">
        <f t="shared" si="3"/>
        <v>185</v>
      </c>
      <c r="Q10">
        <f t="shared" si="4"/>
        <v>21</v>
      </c>
      <c r="R10">
        <f t="shared" si="5"/>
        <v>13</v>
      </c>
      <c r="S10">
        <f t="shared" si="6"/>
        <v>38</v>
      </c>
      <c r="T10">
        <f t="shared" si="7"/>
        <v>307</v>
      </c>
      <c r="U10">
        <f t="shared" si="8"/>
        <v>27</v>
      </c>
      <c r="V10">
        <f t="shared" si="9"/>
        <v>17</v>
      </c>
      <c r="W10">
        <f t="shared" si="10"/>
        <v>142</v>
      </c>
      <c r="Y10">
        <f t="shared" si="11"/>
        <v>24</v>
      </c>
      <c r="Z10">
        <f t="shared" si="12"/>
        <v>1</v>
      </c>
      <c r="AA10">
        <f t="shared" si="13"/>
        <v>0</v>
      </c>
      <c r="AB10">
        <f t="shared" si="14"/>
        <v>5</v>
      </c>
      <c r="AC10">
        <f t="shared" si="15"/>
        <v>30</v>
      </c>
      <c r="AD10">
        <f t="shared" si="16"/>
        <v>2</v>
      </c>
      <c r="AE10">
        <f t="shared" si="17"/>
        <v>1</v>
      </c>
      <c r="AF10">
        <f t="shared" si="18"/>
        <v>16</v>
      </c>
    </row>
    <row r="11" spans="1:32">
      <c r="A11" s="1">
        <v>46108.827175925922</v>
      </c>
      <c r="B11">
        <v>600.41</v>
      </c>
      <c r="C11">
        <v>181</v>
      </c>
      <c r="D11">
        <v>13</v>
      </c>
      <c r="E11">
        <v>12</v>
      </c>
      <c r="F11">
        <v>47</v>
      </c>
      <c r="G11">
        <v>374</v>
      </c>
      <c r="H11">
        <v>40</v>
      </c>
      <c r="I11">
        <v>19</v>
      </c>
      <c r="J11">
        <v>154</v>
      </c>
      <c r="K11">
        <v>28</v>
      </c>
      <c r="L11">
        <v>9</v>
      </c>
      <c r="M11">
        <v>1</v>
      </c>
      <c r="N11">
        <v>1</v>
      </c>
      <c r="P11">
        <f t="shared" si="3"/>
        <v>209</v>
      </c>
      <c r="Q11">
        <f t="shared" si="4"/>
        <v>22</v>
      </c>
      <c r="R11">
        <f t="shared" si="5"/>
        <v>13</v>
      </c>
      <c r="S11">
        <f t="shared" si="6"/>
        <v>48</v>
      </c>
      <c r="T11">
        <f t="shared" si="7"/>
        <v>346</v>
      </c>
      <c r="U11">
        <f t="shared" si="8"/>
        <v>31</v>
      </c>
      <c r="V11">
        <f t="shared" si="9"/>
        <v>18</v>
      </c>
      <c r="W11">
        <f t="shared" si="10"/>
        <v>153</v>
      </c>
      <c r="Y11">
        <f t="shared" si="11"/>
        <v>24</v>
      </c>
      <c r="Z11">
        <f t="shared" si="12"/>
        <v>1</v>
      </c>
      <c r="AA11">
        <f t="shared" si="13"/>
        <v>0</v>
      </c>
      <c r="AB11">
        <f t="shared" si="14"/>
        <v>10</v>
      </c>
      <c r="AC11">
        <f t="shared" si="15"/>
        <v>39</v>
      </c>
      <c r="AD11">
        <f t="shared" si="16"/>
        <v>4</v>
      </c>
      <c r="AE11">
        <f t="shared" si="17"/>
        <v>1</v>
      </c>
      <c r="AF11">
        <f t="shared" si="18"/>
        <v>11</v>
      </c>
    </row>
    <row r="12" spans="1:32">
      <c r="A12" s="1">
        <v>46108.829247685186</v>
      </c>
      <c r="B12">
        <v>660.45</v>
      </c>
      <c r="C12">
        <v>202</v>
      </c>
      <c r="D12">
        <v>18</v>
      </c>
      <c r="E12">
        <v>12</v>
      </c>
      <c r="F12">
        <v>53</v>
      </c>
      <c r="G12">
        <v>409</v>
      </c>
      <c r="H12">
        <v>41</v>
      </c>
      <c r="I12">
        <v>20</v>
      </c>
      <c r="J12">
        <v>173</v>
      </c>
      <c r="K12">
        <v>28</v>
      </c>
      <c r="L12">
        <v>12</v>
      </c>
      <c r="M12">
        <v>1</v>
      </c>
      <c r="N12">
        <v>1</v>
      </c>
      <c r="P12">
        <f t="shared" si="3"/>
        <v>230</v>
      </c>
      <c r="Q12">
        <f t="shared" si="4"/>
        <v>30</v>
      </c>
      <c r="R12">
        <f t="shared" si="5"/>
        <v>13</v>
      </c>
      <c r="S12">
        <f t="shared" si="6"/>
        <v>54</v>
      </c>
      <c r="T12">
        <f t="shared" si="7"/>
        <v>381</v>
      </c>
      <c r="U12">
        <f t="shared" si="8"/>
        <v>29</v>
      </c>
      <c r="V12">
        <f t="shared" si="9"/>
        <v>19</v>
      </c>
      <c r="W12">
        <f t="shared" si="10"/>
        <v>172</v>
      </c>
      <c r="Y12">
        <f t="shared" si="11"/>
        <v>21</v>
      </c>
      <c r="Z12">
        <f t="shared" si="12"/>
        <v>8</v>
      </c>
      <c r="AA12">
        <f t="shared" si="13"/>
        <v>0</v>
      </c>
      <c r="AB12">
        <f t="shared" si="14"/>
        <v>6</v>
      </c>
      <c r="AC12">
        <f t="shared" si="15"/>
        <v>35</v>
      </c>
      <c r="AD12">
        <f t="shared" si="16"/>
        <v>-2</v>
      </c>
      <c r="AE12">
        <f t="shared" si="17"/>
        <v>1</v>
      </c>
      <c r="AF12">
        <f t="shared" si="18"/>
        <v>19</v>
      </c>
    </row>
    <row r="13" spans="1:32">
      <c r="A13" s="1">
        <v>46108.830833333333</v>
      </c>
      <c r="B13">
        <v>720.49</v>
      </c>
      <c r="C13">
        <v>225</v>
      </c>
      <c r="D13">
        <v>19</v>
      </c>
      <c r="E13">
        <v>14</v>
      </c>
      <c r="F13">
        <v>60</v>
      </c>
      <c r="G13">
        <v>445</v>
      </c>
      <c r="H13">
        <v>46</v>
      </c>
      <c r="I13">
        <v>22</v>
      </c>
      <c r="J13">
        <v>191</v>
      </c>
      <c r="K13">
        <v>30</v>
      </c>
      <c r="L13">
        <v>12</v>
      </c>
      <c r="M13">
        <v>1</v>
      </c>
      <c r="N13">
        <v>1</v>
      </c>
      <c r="P13">
        <f t="shared" si="3"/>
        <v>255</v>
      </c>
      <c r="Q13">
        <f t="shared" si="4"/>
        <v>31</v>
      </c>
      <c r="R13">
        <f t="shared" si="5"/>
        <v>15</v>
      </c>
      <c r="S13">
        <f t="shared" si="6"/>
        <v>61</v>
      </c>
      <c r="T13">
        <f t="shared" si="7"/>
        <v>415</v>
      </c>
      <c r="U13">
        <f t="shared" si="8"/>
        <v>34</v>
      </c>
      <c r="V13">
        <f t="shared" si="9"/>
        <v>21</v>
      </c>
      <c r="W13">
        <f t="shared" si="10"/>
        <v>190</v>
      </c>
      <c r="Y13">
        <f t="shared" si="11"/>
        <v>25</v>
      </c>
      <c r="Z13">
        <f t="shared" si="12"/>
        <v>1</v>
      </c>
      <c r="AA13">
        <f t="shared" si="13"/>
        <v>2</v>
      </c>
      <c r="AB13">
        <f t="shared" si="14"/>
        <v>7</v>
      </c>
      <c r="AC13">
        <f t="shared" si="15"/>
        <v>34</v>
      </c>
      <c r="AD13">
        <f t="shared" si="16"/>
        <v>5</v>
      </c>
      <c r="AE13">
        <f t="shared" si="17"/>
        <v>2</v>
      </c>
      <c r="AF13">
        <f t="shared" si="18"/>
        <v>18</v>
      </c>
    </row>
    <row r="14" spans="1:32">
      <c r="A14" s="1">
        <v>46108.832152777781</v>
      </c>
      <c r="B14">
        <v>780.53</v>
      </c>
      <c r="C14">
        <v>239</v>
      </c>
      <c r="D14">
        <v>19</v>
      </c>
      <c r="E14">
        <v>16</v>
      </c>
      <c r="F14">
        <v>65</v>
      </c>
      <c r="G14">
        <v>474</v>
      </c>
      <c r="H14">
        <v>47</v>
      </c>
      <c r="I14">
        <v>29</v>
      </c>
      <c r="J14">
        <v>209</v>
      </c>
      <c r="K14">
        <v>32</v>
      </c>
      <c r="L14">
        <v>12</v>
      </c>
      <c r="M14">
        <v>1</v>
      </c>
      <c r="N14">
        <v>1</v>
      </c>
      <c r="P14">
        <f t="shared" si="3"/>
        <v>271</v>
      </c>
      <c r="Q14">
        <f t="shared" si="4"/>
        <v>31</v>
      </c>
      <c r="R14">
        <f t="shared" si="5"/>
        <v>17</v>
      </c>
      <c r="S14">
        <f t="shared" si="6"/>
        <v>66</v>
      </c>
      <c r="T14">
        <f t="shared" si="7"/>
        <v>442</v>
      </c>
      <c r="U14">
        <f t="shared" si="8"/>
        <v>35</v>
      </c>
      <c r="V14">
        <f t="shared" si="9"/>
        <v>28</v>
      </c>
      <c r="W14">
        <f t="shared" si="10"/>
        <v>208</v>
      </c>
      <c r="Y14">
        <f t="shared" si="11"/>
        <v>16</v>
      </c>
      <c r="Z14">
        <f t="shared" si="12"/>
        <v>0</v>
      </c>
      <c r="AA14">
        <f t="shared" si="13"/>
        <v>2</v>
      </c>
      <c r="AB14">
        <f t="shared" si="14"/>
        <v>5</v>
      </c>
      <c r="AC14">
        <f t="shared" si="15"/>
        <v>27</v>
      </c>
      <c r="AD14">
        <f t="shared" si="16"/>
        <v>1</v>
      </c>
      <c r="AE14">
        <f t="shared" si="17"/>
        <v>7</v>
      </c>
      <c r="AF14">
        <f t="shared" si="18"/>
        <v>18</v>
      </c>
    </row>
    <row r="15" spans="1:32">
      <c r="A15" s="1">
        <v>46108.833495370367</v>
      </c>
      <c r="B15">
        <v>840.57</v>
      </c>
      <c r="C15">
        <v>267</v>
      </c>
      <c r="D15">
        <v>22</v>
      </c>
      <c r="E15">
        <v>16</v>
      </c>
      <c r="F15">
        <v>68</v>
      </c>
      <c r="G15">
        <v>517</v>
      </c>
      <c r="H15">
        <v>52</v>
      </c>
      <c r="I15">
        <v>30</v>
      </c>
      <c r="J15">
        <v>229</v>
      </c>
      <c r="K15">
        <v>39</v>
      </c>
      <c r="L15">
        <v>12</v>
      </c>
      <c r="M15">
        <v>1</v>
      </c>
      <c r="N15">
        <v>1</v>
      </c>
      <c r="P15">
        <f t="shared" si="3"/>
        <v>306</v>
      </c>
      <c r="Q15">
        <f t="shared" si="4"/>
        <v>34</v>
      </c>
      <c r="R15">
        <f t="shared" si="5"/>
        <v>17</v>
      </c>
      <c r="S15">
        <f t="shared" si="6"/>
        <v>69</v>
      </c>
      <c r="T15">
        <f t="shared" si="7"/>
        <v>478</v>
      </c>
      <c r="U15">
        <f t="shared" si="8"/>
        <v>40</v>
      </c>
      <c r="V15">
        <f t="shared" si="9"/>
        <v>29</v>
      </c>
      <c r="W15">
        <f t="shared" si="10"/>
        <v>228</v>
      </c>
      <c r="Y15">
        <f t="shared" si="11"/>
        <v>35</v>
      </c>
      <c r="Z15">
        <f t="shared" si="12"/>
        <v>3</v>
      </c>
      <c r="AA15">
        <f t="shared" si="13"/>
        <v>0</v>
      </c>
      <c r="AB15">
        <f t="shared" si="14"/>
        <v>3</v>
      </c>
      <c r="AC15">
        <f t="shared" si="15"/>
        <v>36</v>
      </c>
      <c r="AD15">
        <f t="shared" si="16"/>
        <v>5</v>
      </c>
      <c r="AE15">
        <f t="shared" si="17"/>
        <v>1</v>
      </c>
      <c r="AF15">
        <f t="shared" si="18"/>
        <v>20</v>
      </c>
    </row>
    <row r="16" spans="1:32">
      <c r="A16" s="1">
        <v>46108.834814814814</v>
      </c>
      <c r="B16">
        <v>900.61</v>
      </c>
      <c r="C16">
        <v>291</v>
      </c>
      <c r="D16">
        <v>22</v>
      </c>
      <c r="E16">
        <v>18</v>
      </c>
      <c r="F16">
        <v>71</v>
      </c>
      <c r="G16">
        <v>564</v>
      </c>
      <c r="H16">
        <v>55</v>
      </c>
      <c r="I16">
        <v>32</v>
      </c>
      <c r="J16">
        <v>250</v>
      </c>
      <c r="K16">
        <v>40</v>
      </c>
      <c r="L16">
        <v>13</v>
      </c>
      <c r="M16">
        <v>1</v>
      </c>
      <c r="N16">
        <v>1</v>
      </c>
      <c r="P16">
        <f t="shared" si="3"/>
        <v>331</v>
      </c>
      <c r="Q16">
        <f t="shared" si="4"/>
        <v>35</v>
      </c>
      <c r="R16">
        <f t="shared" si="5"/>
        <v>19</v>
      </c>
      <c r="S16">
        <f t="shared" si="6"/>
        <v>72</v>
      </c>
      <c r="T16">
        <f t="shared" si="7"/>
        <v>524</v>
      </c>
      <c r="U16">
        <f t="shared" si="8"/>
        <v>42</v>
      </c>
      <c r="V16">
        <f t="shared" si="9"/>
        <v>31</v>
      </c>
      <c r="W16">
        <f t="shared" si="10"/>
        <v>249</v>
      </c>
      <c r="Y16">
        <f t="shared" si="11"/>
        <v>25</v>
      </c>
      <c r="Z16">
        <f t="shared" si="12"/>
        <v>1</v>
      </c>
      <c r="AA16">
        <f t="shared" si="13"/>
        <v>2</v>
      </c>
      <c r="AB16">
        <f t="shared" si="14"/>
        <v>3</v>
      </c>
      <c r="AC16">
        <f t="shared" si="15"/>
        <v>46</v>
      </c>
      <c r="AD16">
        <f t="shared" si="16"/>
        <v>2</v>
      </c>
      <c r="AE16">
        <f t="shared" si="17"/>
        <v>2</v>
      </c>
      <c r="AF16">
        <f t="shared" si="18"/>
        <v>21</v>
      </c>
    </row>
    <row r="17" spans="1:32">
      <c r="A17" s="1">
        <v>46108.836157407408</v>
      </c>
      <c r="B17">
        <v>960.65</v>
      </c>
      <c r="C17">
        <v>303</v>
      </c>
      <c r="D17">
        <v>23</v>
      </c>
      <c r="E17">
        <v>20</v>
      </c>
      <c r="F17">
        <v>75</v>
      </c>
      <c r="G17">
        <v>595</v>
      </c>
      <c r="H17">
        <v>58</v>
      </c>
      <c r="I17">
        <v>34</v>
      </c>
      <c r="J17">
        <v>262</v>
      </c>
      <c r="K17">
        <v>42</v>
      </c>
      <c r="L17">
        <v>13</v>
      </c>
      <c r="M17">
        <v>1</v>
      </c>
      <c r="N17">
        <v>1</v>
      </c>
      <c r="P17">
        <f t="shared" si="3"/>
        <v>345</v>
      </c>
      <c r="Q17">
        <f t="shared" si="4"/>
        <v>36</v>
      </c>
      <c r="R17">
        <f t="shared" si="5"/>
        <v>21</v>
      </c>
      <c r="S17">
        <f t="shared" si="6"/>
        <v>76</v>
      </c>
      <c r="T17">
        <f t="shared" si="7"/>
        <v>553</v>
      </c>
      <c r="U17">
        <f t="shared" si="8"/>
        <v>45</v>
      </c>
      <c r="V17">
        <f t="shared" si="9"/>
        <v>33</v>
      </c>
      <c r="W17">
        <f t="shared" si="10"/>
        <v>261</v>
      </c>
      <c r="Y17">
        <f t="shared" si="11"/>
        <v>14</v>
      </c>
      <c r="Z17">
        <f t="shared" si="12"/>
        <v>1</v>
      </c>
      <c r="AA17">
        <f t="shared" si="13"/>
        <v>2</v>
      </c>
      <c r="AB17">
        <f t="shared" si="14"/>
        <v>4</v>
      </c>
      <c r="AC17">
        <f t="shared" si="15"/>
        <v>29</v>
      </c>
      <c r="AD17">
        <f t="shared" si="16"/>
        <v>3</v>
      </c>
      <c r="AE17">
        <f t="shared" si="17"/>
        <v>2</v>
      </c>
      <c r="AF17">
        <f t="shared" si="18"/>
        <v>12</v>
      </c>
    </row>
    <row r="18" spans="1:32">
      <c r="A18" s="1">
        <v>46108.837858796294</v>
      </c>
      <c r="B18">
        <v>1020.69</v>
      </c>
      <c r="C18">
        <v>331</v>
      </c>
      <c r="D18">
        <v>25</v>
      </c>
      <c r="E18">
        <v>20</v>
      </c>
      <c r="F18">
        <v>80</v>
      </c>
      <c r="G18">
        <v>633</v>
      </c>
      <c r="H18">
        <v>61</v>
      </c>
      <c r="I18">
        <v>36</v>
      </c>
      <c r="J18">
        <v>276</v>
      </c>
      <c r="K18">
        <v>46</v>
      </c>
      <c r="L18">
        <v>14</v>
      </c>
      <c r="M18">
        <v>1</v>
      </c>
      <c r="N18">
        <v>2</v>
      </c>
      <c r="P18">
        <f t="shared" si="3"/>
        <v>377</v>
      </c>
      <c r="Q18">
        <f t="shared" si="4"/>
        <v>39</v>
      </c>
      <c r="R18">
        <f t="shared" si="5"/>
        <v>21</v>
      </c>
      <c r="S18">
        <f t="shared" si="6"/>
        <v>82</v>
      </c>
      <c r="T18">
        <f t="shared" si="7"/>
        <v>587</v>
      </c>
      <c r="U18">
        <f t="shared" si="8"/>
        <v>47</v>
      </c>
      <c r="V18">
        <f t="shared" si="9"/>
        <v>35</v>
      </c>
      <c r="W18">
        <f t="shared" si="10"/>
        <v>274</v>
      </c>
      <c r="Y18">
        <f t="shared" si="11"/>
        <v>32</v>
      </c>
      <c r="Z18">
        <f t="shared" si="12"/>
        <v>3</v>
      </c>
      <c r="AA18">
        <f t="shared" si="13"/>
        <v>0</v>
      </c>
      <c r="AB18">
        <f t="shared" si="14"/>
        <v>6</v>
      </c>
      <c r="AC18">
        <f t="shared" si="15"/>
        <v>34</v>
      </c>
      <c r="AD18">
        <f t="shared" si="16"/>
        <v>2</v>
      </c>
      <c r="AE18">
        <f t="shared" si="17"/>
        <v>2</v>
      </c>
      <c r="AF18">
        <f t="shared" si="18"/>
        <v>13</v>
      </c>
    </row>
    <row r="19" spans="1:32">
      <c r="A19" s="1">
        <v>46108.840115740742</v>
      </c>
      <c r="B19">
        <v>1080.73</v>
      </c>
      <c r="C19">
        <v>349</v>
      </c>
      <c r="D19">
        <v>26</v>
      </c>
      <c r="E19">
        <v>21</v>
      </c>
      <c r="F19">
        <v>85</v>
      </c>
      <c r="G19">
        <v>661</v>
      </c>
      <c r="H19">
        <v>67</v>
      </c>
      <c r="I19">
        <v>38</v>
      </c>
      <c r="J19">
        <v>298</v>
      </c>
      <c r="K19">
        <v>47</v>
      </c>
      <c r="L19">
        <v>15</v>
      </c>
      <c r="M19">
        <v>1</v>
      </c>
      <c r="N19">
        <v>2</v>
      </c>
      <c r="P19">
        <f t="shared" si="3"/>
        <v>396</v>
      </c>
      <c r="Q19">
        <f t="shared" si="4"/>
        <v>41</v>
      </c>
      <c r="R19">
        <f t="shared" si="5"/>
        <v>22</v>
      </c>
      <c r="S19">
        <f t="shared" si="6"/>
        <v>87</v>
      </c>
      <c r="T19">
        <f t="shared" si="7"/>
        <v>614</v>
      </c>
      <c r="U19">
        <f t="shared" si="8"/>
        <v>52</v>
      </c>
      <c r="V19">
        <f t="shared" si="9"/>
        <v>37</v>
      </c>
      <c r="W19">
        <f t="shared" si="10"/>
        <v>296</v>
      </c>
      <c r="Y19">
        <f t="shared" si="11"/>
        <v>19</v>
      </c>
      <c r="Z19">
        <f t="shared" si="12"/>
        <v>2</v>
      </c>
      <c r="AA19">
        <f t="shared" si="13"/>
        <v>1</v>
      </c>
      <c r="AB19">
        <f t="shared" si="14"/>
        <v>5</v>
      </c>
      <c r="AC19">
        <f t="shared" si="15"/>
        <v>27</v>
      </c>
      <c r="AD19">
        <f t="shared" si="16"/>
        <v>5</v>
      </c>
      <c r="AE19">
        <f t="shared" si="17"/>
        <v>2</v>
      </c>
      <c r="AF19">
        <f t="shared" si="18"/>
        <v>22</v>
      </c>
    </row>
    <row r="20" spans="1:32">
      <c r="A20" s="1">
        <v>46108.842511574076</v>
      </c>
      <c r="B20">
        <v>1140.77</v>
      </c>
      <c r="C20">
        <v>363</v>
      </c>
      <c r="D20">
        <v>28</v>
      </c>
      <c r="E20">
        <v>21</v>
      </c>
      <c r="F20">
        <v>94</v>
      </c>
      <c r="G20">
        <v>691</v>
      </c>
      <c r="H20">
        <v>68</v>
      </c>
      <c r="I20">
        <v>40</v>
      </c>
      <c r="J20">
        <v>324</v>
      </c>
      <c r="K20">
        <v>49</v>
      </c>
      <c r="L20">
        <v>15</v>
      </c>
      <c r="M20">
        <v>1</v>
      </c>
      <c r="N20">
        <v>3</v>
      </c>
      <c r="P20">
        <f t="shared" si="3"/>
        <v>412</v>
      </c>
      <c r="Q20">
        <f t="shared" si="4"/>
        <v>43</v>
      </c>
      <c r="R20">
        <f t="shared" si="5"/>
        <v>22</v>
      </c>
      <c r="S20">
        <f t="shared" si="6"/>
        <v>97</v>
      </c>
      <c r="T20">
        <f t="shared" si="7"/>
        <v>642</v>
      </c>
      <c r="U20">
        <f t="shared" si="8"/>
        <v>53</v>
      </c>
      <c r="V20">
        <f t="shared" si="9"/>
        <v>39</v>
      </c>
      <c r="W20">
        <f t="shared" si="10"/>
        <v>321</v>
      </c>
      <c r="Y20">
        <f t="shared" si="11"/>
        <v>16</v>
      </c>
      <c r="Z20">
        <f t="shared" si="12"/>
        <v>2</v>
      </c>
      <c r="AA20">
        <f t="shared" si="13"/>
        <v>0</v>
      </c>
      <c r="AB20">
        <f t="shared" si="14"/>
        <v>10</v>
      </c>
      <c r="AC20">
        <f t="shared" si="15"/>
        <v>28</v>
      </c>
      <c r="AD20">
        <f t="shared" si="16"/>
        <v>1</v>
      </c>
      <c r="AE20">
        <f t="shared" si="17"/>
        <v>2</v>
      </c>
      <c r="AF20">
        <f t="shared" si="18"/>
        <v>25</v>
      </c>
    </row>
    <row r="21" spans="1:32">
      <c r="A21" s="1">
        <v>46108.844942129632</v>
      </c>
      <c r="B21">
        <v>1200.81</v>
      </c>
      <c r="C21">
        <v>378</v>
      </c>
      <c r="D21">
        <v>31</v>
      </c>
      <c r="E21">
        <v>22</v>
      </c>
      <c r="F21">
        <v>97</v>
      </c>
      <c r="G21">
        <v>744</v>
      </c>
      <c r="H21">
        <v>70</v>
      </c>
      <c r="I21">
        <v>45</v>
      </c>
      <c r="J21">
        <v>340</v>
      </c>
      <c r="K21">
        <v>53</v>
      </c>
      <c r="L21">
        <v>17</v>
      </c>
      <c r="M21">
        <v>1</v>
      </c>
      <c r="N21">
        <v>3</v>
      </c>
      <c r="P21">
        <f t="shared" si="3"/>
        <v>431</v>
      </c>
      <c r="Q21">
        <f t="shared" si="4"/>
        <v>48</v>
      </c>
      <c r="R21">
        <f t="shared" si="5"/>
        <v>23</v>
      </c>
      <c r="S21">
        <f t="shared" si="6"/>
        <v>100</v>
      </c>
      <c r="T21">
        <f t="shared" si="7"/>
        <v>691</v>
      </c>
      <c r="U21">
        <f t="shared" si="8"/>
        <v>53</v>
      </c>
      <c r="V21">
        <f t="shared" si="9"/>
        <v>44</v>
      </c>
      <c r="W21">
        <f t="shared" si="10"/>
        <v>337</v>
      </c>
      <c r="Y21">
        <f t="shared" si="11"/>
        <v>19</v>
      </c>
      <c r="Z21">
        <f t="shared" si="12"/>
        <v>5</v>
      </c>
      <c r="AA21">
        <f t="shared" si="13"/>
        <v>1</v>
      </c>
      <c r="AB21">
        <f t="shared" si="14"/>
        <v>3</v>
      </c>
      <c r="AC21">
        <f t="shared" si="15"/>
        <v>49</v>
      </c>
      <c r="AD21">
        <f t="shared" si="16"/>
        <v>0</v>
      </c>
      <c r="AE21">
        <f t="shared" si="17"/>
        <v>5</v>
      </c>
      <c r="AF21">
        <f t="shared" si="18"/>
        <v>16</v>
      </c>
    </row>
    <row r="22" spans="1:32">
      <c r="A22" s="1">
        <v>46108.846655092595</v>
      </c>
      <c r="B22">
        <v>1260.8499999999999</v>
      </c>
      <c r="C22">
        <v>402</v>
      </c>
      <c r="D22">
        <v>33</v>
      </c>
      <c r="E22">
        <v>22</v>
      </c>
      <c r="F22">
        <v>101</v>
      </c>
      <c r="G22">
        <v>781</v>
      </c>
      <c r="H22">
        <v>79</v>
      </c>
      <c r="I22">
        <v>45</v>
      </c>
      <c r="J22">
        <v>362</v>
      </c>
      <c r="K22">
        <v>56</v>
      </c>
      <c r="L22">
        <v>17</v>
      </c>
      <c r="M22">
        <v>1</v>
      </c>
      <c r="N22">
        <v>4</v>
      </c>
      <c r="P22">
        <f t="shared" si="3"/>
        <v>458</v>
      </c>
      <c r="Q22">
        <f t="shared" si="4"/>
        <v>50</v>
      </c>
      <c r="R22">
        <f t="shared" si="5"/>
        <v>23</v>
      </c>
      <c r="S22">
        <f t="shared" si="6"/>
        <v>105</v>
      </c>
      <c r="T22">
        <f t="shared" si="7"/>
        <v>725</v>
      </c>
      <c r="U22">
        <f t="shared" si="8"/>
        <v>62</v>
      </c>
      <c r="V22">
        <f t="shared" si="9"/>
        <v>44</v>
      </c>
      <c r="W22">
        <f t="shared" si="10"/>
        <v>358</v>
      </c>
      <c r="Y22">
        <f t="shared" si="11"/>
        <v>27</v>
      </c>
      <c r="Z22">
        <f t="shared" si="12"/>
        <v>2</v>
      </c>
      <c r="AA22">
        <f t="shared" si="13"/>
        <v>0</v>
      </c>
      <c r="AB22">
        <f t="shared" si="14"/>
        <v>5</v>
      </c>
      <c r="AC22">
        <f t="shared" si="15"/>
        <v>34</v>
      </c>
      <c r="AD22">
        <f t="shared" si="16"/>
        <v>9</v>
      </c>
      <c r="AE22">
        <f t="shared" si="17"/>
        <v>0</v>
      </c>
      <c r="AF22">
        <f t="shared" si="18"/>
        <v>21</v>
      </c>
    </row>
    <row r="23" spans="1:32">
      <c r="A23" s="1">
        <v>46108.847916666666</v>
      </c>
      <c r="B23">
        <v>1320.89</v>
      </c>
      <c r="C23">
        <v>421</v>
      </c>
      <c r="D23">
        <v>35</v>
      </c>
      <c r="E23">
        <v>22</v>
      </c>
      <c r="F23">
        <v>107</v>
      </c>
      <c r="G23">
        <v>818</v>
      </c>
      <c r="H23">
        <v>84</v>
      </c>
      <c r="I23">
        <v>45</v>
      </c>
      <c r="J23">
        <v>377</v>
      </c>
      <c r="K23">
        <v>61</v>
      </c>
      <c r="L23">
        <v>17</v>
      </c>
      <c r="M23">
        <v>1</v>
      </c>
      <c r="N23">
        <v>5</v>
      </c>
      <c r="P23">
        <f t="shared" si="3"/>
        <v>482</v>
      </c>
      <c r="Q23">
        <f t="shared" si="4"/>
        <v>52</v>
      </c>
      <c r="R23">
        <f t="shared" si="5"/>
        <v>23</v>
      </c>
      <c r="S23">
        <f t="shared" si="6"/>
        <v>112</v>
      </c>
      <c r="T23">
        <f t="shared" si="7"/>
        <v>757</v>
      </c>
      <c r="U23">
        <f t="shared" si="8"/>
        <v>67</v>
      </c>
      <c r="V23">
        <f t="shared" si="9"/>
        <v>44</v>
      </c>
      <c r="W23">
        <f t="shared" si="10"/>
        <v>372</v>
      </c>
      <c r="Y23">
        <f t="shared" si="11"/>
        <v>24</v>
      </c>
      <c r="Z23">
        <f t="shared" si="12"/>
        <v>2</v>
      </c>
      <c r="AA23">
        <f t="shared" si="13"/>
        <v>0</v>
      </c>
      <c r="AB23">
        <f t="shared" si="14"/>
        <v>7</v>
      </c>
      <c r="AC23">
        <f t="shared" si="15"/>
        <v>32</v>
      </c>
      <c r="AD23">
        <f t="shared" si="16"/>
        <v>5</v>
      </c>
      <c r="AE23">
        <f t="shared" si="17"/>
        <v>0</v>
      </c>
      <c r="AF23">
        <f t="shared" si="18"/>
        <v>14</v>
      </c>
    </row>
    <row r="24" spans="1:32">
      <c r="A24" s="1">
        <v>46108.849502314813</v>
      </c>
      <c r="B24">
        <v>1380.94</v>
      </c>
      <c r="C24">
        <v>446</v>
      </c>
      <c r="D24">
        <v>36</v>
      </c>
      <c r="E24">
        <v>23</v>
      </c>
      <c r="F24">
        <v>111</v>
      </c>
      <c r="G24">
        <v>871</v>
      </c>
      <c r="H24">
        <v>87</v>
      </c>
      <c r="I24">
        <v>48</v>
      </c>
      <c r="J24">
        <v>400</v>
      </c>
      <c r="K24">
        <v>64</v>
      </c>
      <c r="L24">
        <v>17</v>
      </c>
      <c r="M24">
        <v>1</v>
      </c>
      <c r="N24">
        <v>6</v>
      </c>
      <c r="P24">
        <f t="shared" si="3"/>
        <v>510</v>
      </c>
      <c r="Q24">
        <f t="shared" si="4"/>
        <v>53</v>
      </c>
      <c r="R24">
        <f t="shared" si="5"/>
        <v>24</v>
      </c>
      <c r="S24">
        <f t="shared" si="6"/>
        <v>117</v>
      </c>
      <c r="T24">
        <f t="shared" si="7"/>
        <v>807</v>
      </c>
      <c r="U24">
        <f t="shared" si="8"/>
        <v>70</v>
      </c>
      <c r="V24">
        <f t="shared" si="9"/>
        <v>47</v>
      </c>
      <c r="W24">
        <f t="shared" si="10"/>
        <v>394</v>
      </c>
      <c r="Y24">
        <f t="shared" si="11"/>
        <v>28</v>
      </c>
      <c r="Z24">
        <f t="shared" si="12"/>
        <v>1</v>
      </c>
      <c r="AA24">
        <f t="shared" si="13"/>
        <v>1</v>
      </c>
      <c r="AB24">
        <f t="shared" si="14"/>
        <v>5</v>
      </c>
      <c r="AC24">
        <f t="shared" si="15"/>
        <v>50</v>
      </c>
      <c r="AD24">
        <f t="shared" si="16"/>
        <v>3</v>
      </c>
      <c r="AE24">
        <f t="shared" si="17"/>
        <v>3</v>
      </c>
      <c r="AF24">
        <f t="shared" si="18"/>
        <v>22</v>
      </c>
    </row>
    <row r="25" spans="1:32">
      <c r="A25" s="1">
        <v>46108.851064814815</v>
      </c>
      <c r="B25">
        <v>1440.98</v>
      </c>
      <c r="C25">
        <v>467</v>
      </c>
      <c r="D25">
        <v>37</v>
      </c>
      <c r="E25">
        <v>24</v>
      </c>
      <c r="F25">
        <v>112</v>
      </c>
      <c r="G25">
        <v>902</v>
      </c>
      <c r="H25">
        <v>94</v>
      </c>
      <c r="I25">
        <v>51</v>
      </c>
      <c r="J25">
        <v>425</v>
      </c>
      <c r="K25">
        <v>67</v>
      </c>
      <c r="L25">
        <v>17</v>
      </c>
      <c r="M25">
        <v>1</v>
      </c>
      <c r="N25">
        <v>6</v>
      </c>
      <c r="P25">
        <f t="shared" si="3"/>
        <v>534</v>
      </c>
      <c r="Q25">
        <f t="shared" si="4"/>
        <v>54</v>
      </c>
      <c r="R25">
        <f t="shared" si="5"/>
        <v>25</v>
      </c>
      <c r="S25">
        <f t="shared" si="6"/>
        <v>118</v>
      </c>
      <c r="T25">
        <f t="shared" si="7"/>
        <v>835</v>
      </c>
      <c r="U25">
        <f t="shared" si="8"/>
        <v>77</v>
      </c>
      <c r="V25">
        <f t="shared" si="9"/>
        <v>50</v>
      </c>
      <c r="W25">
        <f t="shared" si="10"/>
        <v>419</v>
      </c>
      <c r="Y25">
        <f t="shared" si="11"/>
        <v>24</v>
      </c>
      <c r="Z25">
        <f t="shared" si="12"/>
        <v>1</v>
      </c>
      <c r="AA25">
        <f t="shared" si="13"/>
        <v>1</v>
      </c>
      <c r="AB25">
        <f t="shared" si="14"/>
        <v>1</v>
      </c>
      <c r="AC25">
        <f t="shared" si="15"/>
        <v>28</v>
      </c>
      <c r="AD25">
        <f t="shared" si="16"/>
        <v>7</v>
      </c>
      <c r="AE25">
        <f t="shared" si="17"/>
        <v>3</v>
      </c>
      <c r="AF25">
        <f t="shared" si="18"/>
        <v>25</v>
      </c>
    </row>
    <row r="26" spans="1:3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1">
        <v>46108.860648148147</v>
      </c>
      <c r="B27">
        <v>60.04</v>
      </c>
      <c r="C27">
        <v>22</v>
      </c>
      <c r="D27">
        <v>2</v>
      </c>
      <c r="E27">
        <v>0</v>
      </c>
      <c r="F27">
        <v>5</v>
      </c>
      <c r="G27">
        <v>32</v>
      </c>
      <c r="H27">
        <v>2</v>
      </c>
      <c r="I27">
        <v>1</v>
      </c>
      <c r="J27">
        <v>19</v>
      </c>
      <c r="K27">
        <v>2</v>
      </c>
      <c r="L27">
        <v>1</v>
      </c>
      <c r="M27">
        <v>0</v>
      </c>
      <c r="N27">
        <v>1</v>
      </c>
      <c r="P27">
        <f t="shared" si="3"/>
        <v>24</v>
      </c>
      <c r="Q27">
        <f t="shared" si="4"/>
        <v>3</v>
      </c>
      <c r="R27">
        <f t="shared" si="5"/>
        <v>0</v>
      </c>
      <c r="S27">
        <f t="shared" si="6"/>
        <v>6</v>
      </c>
      <c r="T27">
        <f t="shared" si="7"/>
        <v>30</v>
      </c>
      <c r="U27">
        <f t="shared" si="8"/>
        <v>1</v>
      </c>
      <c r="V27">
        <f t="shared" si="9"/>
        <v>1</v>
      </c>
      <c r="W27">
        <f t="shared" si="10"/>
        <v>18</v>
      </c>
      <c r="Y27">
        <f t="shared" si="11"/>
        <v>24</v>
      </c>
      <c r="Z27">
        <f t="shared" si="12"/>
        <v>3</v>
      </c>
      <c r="AA27">
        <f t="shared" si="13"/>
        <v>0</v>
      </c>
      <c r="AB27">
        <f t="shared" si="14"/>
        <v>6</v>
      </c>
      <c r="AC27">
        <f t="shared" si="15"/>
        <v>30</v>
      </c>
      <c r="AD27">
        <f t="shared" si="16"/>
        <v>1</v>
      </c>
      <c r="AE27">
        <f t="shared" si="17"/>
        <v>1</v>
      </c>
      <c r="AF27">
        <f t="shared" si="18"/>
        <v>18</v>
      </c>
    </row>
    <row r="28" spans="1:32">
      <c r="A28" s="1">
        <v>46108.862233796295</v>
      </c>
      <c r="B28">
        <v>120.08</v>
      </c>
      <c r="C28">
        <v>39</v>
      </c>
      <c r="D28">
        <v>3</v>
      </c>
      <c r="E28">
        <v>2</v>
      </c>
      <c r="F28">
        <v>11</v>
      </c>
      <c r="G28">
        <v>69</v>
      </c>
      <c r="H28">
        <v>4</v>
      </c>
      <c r="I28">
        <v>4</v>
      </c>
      <c r="J28">
        <v>36</v>
      </c>
      <c r="K28">
        <v>2</v>
      </c>
      <c r="L28">
        <v>1</v>
      </c>
      <c r="M28">
        <v>0</v>
      </c>
      <c r="N28">
        <v>1</v>
      </c>
      <c r="P28">
        <f t="shared" si="3"/>
        <v>41</v>
      </c>
      <c r="Q28">
        <f t="shared" si="4"/>
        <v>4</v>
      </c>
      <c r="R28">
        <f t="shared" si="5"/>
        <v>2</v>
      </c>
      <c r="S28">
        <f t="shared" si="6"/>
        <v>12</v>
      </c>
      <c r="T28">
        <f t="shared" si="7"/>
        <v>67</v>
      </c>
      <c r="U28">
        <f t="shared" si="8"/>
        <v>3</v>
      </c>
      <c r="V28">
        <f t="shared" si="9"/>
        <v>4</v>
      </c>
      <c r="W28">
        <f t="shared" si="10"/>
        <v>35</v>
      </c>
      <c r="Y28">
        <f t="shared" si="11"/>
        <v>17</v>
      </c>
      <c r="Z28">
        <f t="shared" si="12"/>
        <v>1</v>
      </c>
      <c r="AA28">
        <f t="shared" si="13"/>
        <v>2</v>
      </c>
      <c r="AB28">
        <f t="shared" si="14"/>
        <v>6</v>
      </c>
      <c r="AC28">
        <f t="shared" si="15"/>
        <v>37</v>
      </c>
      <c r="AD28">
        <f t="shared" si="16"/>
        <v>2</v>
      </c>
      <c r="AE28">
        <f t="shared" si="17"/>
        <v>3</v>
      </c>
      <c r="AF28">
        <f t="shared" si="18"/>
        <v>17</v>
      </c>
    </row>
    <row r="29" spans="1:32">
      <c r="A29" s="1">
        <v>46108.863645833335</v>
      </c>
      <c r="B29">
        <v>180.12</v>
      </c>
      <c r="C29">
        <v>64</v>
      </c>
      <c r="D29">
        <v>3</v>
      </c>
      <c r="E29">
        <v>2</v>
      </c>
      <c r="F29">
        <v>17</v>
      </c>
      <c r="G29">
        <v>106</v>
      </c>
      <c r="H29">
        <v>8</v>
      </c>
      <c r="I29">
        <v>6</v>
      </c>
      <c r="J29">
        <v>53</v>
      </c>
      <c r="K29">
        <v>4</v>
      </c>
      <c r="L29">
        <v>2</v>
      </c>
      <c r="M29">
        <v>0</v>
      </c>
      <c r="N29">
        <v>1</v>
      </c>
      <c r="P29">
        <f t="shared" si="3"/>
        <v>68</v>
      </c>
      <c r="Q29">
        <f t="shared" si="4"/>
        <v>5</v>
      </c>
      <c r="R29">
        <f t="shared" si="5"/>
        <v>2</v>
      </c>
      <c r="S29">
        <f t="shared" si="6"/>
        <v>18</v>
      </c>
      <c r="T29">
        <f t="shared" si="7"/>
        <v>102</v>
      </c>
      <c r="U29">
        <f t="shared" si="8"/>
        <v>6</v>
      </c>
      <c r="V29">
        <f t="shared" si="9"/>
        <v>6</v>
      </c>
      <c r="W29">
        <f t="shared" si="10"/>
        <v>52</v>
      </c>
      <c r="Y29">
        <f t="shared" si="11"/>
        <v>27</v>
      </c>
      <c r="Z29">
        <f t="shared" si="12"/>
        <v>1</v>
      </c>
      <c r="AA29">
        <f t="shared" si="13"/>
        <v>0</v>
      </c>
      <c r="AB29">
        <f t="shared" si="14"/>
        <v>6</v>
      </c>
      <c r="AC29">
        <f t="shared" si="15"/>
        <v>35</v>
      </c>
      <c r="AD29">
        <f t="shared" si="16"/>
        <v>3</v>
      </c>
      <c r="AE29">
        <f t="shared" si="17"/>
        <v>2</v>
      </c>
      <c r="AF29">
        <f t="shared" si="18"/>
        <v>17</v>
      </c>
    </row>
    <row r="30" spans="1:32">
      <c r="A30" s="1">
        <v>46108.864849537036</v>
      </c>
      <c r="B30">
        <v>240.16</v>
      </c>
      <c r="C30">
        <v>86</v>
      </c>
      <c r="D30">
        <v>5</v>
      </c>
      <c r="E30">
        <v>2</v>
      </c>
      <c r="F30">
        <v>19</v>
      </c>
      <c r="G30">
        <v>133</v>
      </c>
      <c r="H30">
        <v>11</v>
      </c>
      <c r="I30">
        <v>9</v>
      </c>
      <c r="J30">
        <v>69</v>
      </c>
      <c r="K30">
        <v>5</v>
      </c>
      <c r="L30">
        <v>2</v>
      </c>
      <c r="M30">
        <v>0</v>
      </c>
      <c r="N30">
        <v>1</v>
      </c>
      <c r="P30">
        <f t="shared" si="3"/>
        <v>91</v>
      </c>
      <c r="Q30">
        <f t="shared" si="4"/>
        <v>7</v>
      </c>
      <c r="R30">
        <f t="shared" si="5"/>
        <v>2</v>
      </c>
      <c r="S30">
        <f t="shared" si="6"/>
        <v>20</v>
      </c>
      <c r="T30">
        <f t="shared" si="7"/>
        <v>128</v>
      </c>
      <c r="U30">
        <f t="shared" si="8"/>
        <v>9</v>
      </c>
      <c r="V30">
        <f t="shared" si="9"/>
        <v>9</v>
      </c>
      <c r="W30">
        <f t="shared" si="10"/>
        <v>68</v>
      </c>
      <c r="Y30">
        <f t="shared" si="11"/>
        <v>23</v>
      </c>
      <c r="Z30">
        <f t="shared" si="12"/>
        <v>2</v>
      </c>
      <c r="AA30">
        <f t="shared" si="13"/>
        <v>0</v>
      </c>
      <c r="AB30">
        <f t="shared" si="14"/>
        <v>2</v>
      </c>
      <c r="AC30">
        <f t="shared" si="15"/>
        <v>26</v>
      </c>
      <c r="AD30">
        <f t="shared" si="16"/>
        <v>3</v>
      </c>
      <c r="AE30">
        <f t="shared" si="17"/>
        <v>3</v>
      </c>
      <c r="AF30">
        <f t="shared" si="18"/>
        <v>16</v>
      </c>
    </row>
    <row r="31" spans="1:32">
      <c r="A31" s="1">
        <v>46108.866157407407</v>
      </c>
      <c r="B31">
        <v>300.2</v>
      </c>
      <c r="C31">
        <v>110</v>
      </c>
      <c r="D31">
        <v>8</v>
      </c>
      <c r="E31">
        <v>2</v>
      </c>
      <c r="F31">
        <v>24</v>
      </c>
      <c r="G31">
        <v>175</v>
      </c>
      <c r="H31">
        <v>15</v>
      </c>
      <c r="I31">
        <v>10</v>
      </c>
      <c r="J31">
        <v>97</v>
      </c>
      <c r="K31">
        <v>7</v>
      </c>
      <c r="L31">
        <v>2</v>
      </c>
      <c r="M31">
        <v>0</v>
      </c>
      <c r="N31">
        <v>2</v>
      </c>
      <c r="P31">
        <f t="shared" si="3"/>
        <v>117</v>
      </c>
      <c r="Q31">
        <f t="shared" si="4"/>
        <v>10</v>
      </c>
      <c r="R31">
        <f t="shared" si="5"/>
        <v>2</v>
      </c>
      <c r="S31">
        <f t="shared" si="6"/>
        <v>26</v>
      </c>
      <c r="T31">
        <f t="shared" si="7"/>
        <v>168</v>
      </c>
      <c r="U31">
        <f t="shared" si="8"/>
        <v>13</v>
      </c>
      <c r="V31">
        <f t="shared" si="9"/>
        <v>10</v>
      </c>
      <c r="W31">
        <f t="shared" si="10"/>
        <v>95</v>
      </c>
      <c r="Y31">
        <f t="shared" si="11"/>
        <v>26</v>
      </c>
      <c r="Z31">
        <f t="shared" si="12"/>
        <v>3</v>
      </c>
      <c r="AA31">
        <f t="shared" si="13"/>
        <v>0</v>
      </c>
      <c r="AB31">
        <f t="shared" si="14"/>
        <v>6</v>
      </c>
      <c r="AC31">
        <f t="shared" si="15"/>
        <v>40</v>
      </c>
      <c r="AD31">
        <f t="shared" si="16"/>
        <v>4</v>
      </c>
      <c r="AE31">
        <f t="shared" si="17"/>
        <v>1</v>
      </c>
      <c r="AF31">
        <f t="shared" si="18"/>
        <v>27</v>
      </c>
    </row>
    <row r="32" spans="1:32">
      <c r="A32" s="1">
        <v>46108.867731481485</v>
      </c>
      <c r="B32">
        <v>360.24</v>
      </c>
      <c r="C32">
        <v>120</v>
      </c>
      <c r="D32">
        <v>9</v>
      </c>
      <c r="E32">
        <v>3</v>
      </c>
      <c r="F32">
        <v>31</v>
      </c>
      <c r="G32">
        <v>195</v>
      </c>
      <c r="H32">
        <v>23</v>
      </c>
      <c r="I32">
        <v>13</v>
      </c>
      <c r="J32">
        <v>120</v>
      </c>
      <c r="K32">
        <v>7</v>
      </c>
      <c r="L32">
        <v>2</v>
      </c>
      <c r="M32">
        <v>0</v>
      </c>
      <c r="N32">
        <v>2</v>
      </c>
      <c r="P32">
        <f t="shared" si="3"/>
        <v>127</v>
      </c>
      <c r="Q32">
        <f t="shared" si="4"/>
        <v>11</v>
      </c>
      <c r="R32">
        <f t="shared" si="5"/>
        <v>3</v>
      </c>
      <c r="S32">
        <f t="shared" si="6"/>
        <v>33</v>
      </c>
      <c r="T32">
        <f t="shared" si="7"/>
        <v>188</v>
      </c>
      <c r="U32">
        <f t="shared" si="8"/>
        <v>21</v>
      </c>
      <c r="V32">
        <f t="shared" si="9"/>
        <v>13</v>
      </c>
      <c r="W32">
        <f t="shared" si="10"/>
        <v>118</v>
      </c>
      <c r="Y32">
        <f t="shared" si="11"/>
        <v>10</v>
      </c>
      <c r="Z32">
        <f t="shared" si="12"/>
        <v>1</v>
      </c>
      <c r="AA32">
        <f t="shared" si="13"/>
        <v>1</v>
      </c>
      <c r="AB32">
        <f t="shared" si="14"/>
        <v>7</v>
      </c>
      <c r="AC32">
        <f t="shared" si="15"/>
        <v>20</v>
      </c>
      <c r="AD32">
        <f t="shared" si="16"/>
        <v>8</v>
      </c>
      <c r="AE32">
        <f t="shared" si="17"/>
        <v>3</v>
      </c>
      <c r="AF32">
        <f t="shared" si="18"/>
        <v>23</v>
      </c>
    </row>
    <row r="33" spans="1:32">
      <c r="A33" s="1">
        <v>46108.871111111112</v>
      </c>
      <c r="B33">
        <v>420.28</v>
      </c>
      <c r="C33">
        <v>143</v>
      </c>
      <c r="D33">
        <v>10</v>
      </c>
      <c r="E33">
        <v>4</v>
      </c>
      <c r="F33">
        <v>38</v>
      </c>
      <c r="G33">
        <v>239</v>
      </c>
      <c r="H33">
        <v>27</v>
      </c>
      <c r="I33">
        <v>13</v>
      </c>
      <c r="J33">
        <v>134</v>
      </c>
      <c r="K33">
        <v>9</v>
      </c>
      <c r="L33">
        <v>3</v>
      </c>
      <c r="M33">
        <v>0</v>
      </c>
      <c r="N33">
        <v>2</v>
      </c>
      <c r="P33">
        <f t="shared" si="3"/>
        <v>152</v>
      </c>
      <c r="Q33">
        <f t="shared" si="4"/>
        <v>13</v>
      </c>
      <c r="R33">
        <f t="shared" si="5"/>
        <v>4</v>
      </c>
      <c r="S33">
        <f t="shared" si="6"/>
        <v>40</v>
      </c>
      <c r="T33">
        <f t="shared" si="7"/>
        <v>230</v>
      </c>
      <c r="U33">
        <f t="shared" si="8"/>
        <v>24</v>
      </c>
      <c r="V33">
        <f t="shared" si="9"/>
        <v>13</v>
      </c>
      <c r="W33">
        <f t="shared" si="10"/>
        <v>132</v>
      </c>
      <c r="Y33">
        <f t="shared" si="11"/>
        <v>25</v>
      </c>
      <c r="Z33">
        <f t="shared" si="12"/>
        <v>2</v>
      </c>
      <c r="AA33">
        <f t="shared" si="13"/>
        <v>1</v>
      </c>
      <c r="AB33">
        <f t="shared" si="14"/>
        <v>7</v>
      </c>
      <c r="AC33">
        <f t="shared" si="15"/>
        <v>42</v>
      </c>
      <c r="AD33">
        <f t="shared" si="16"/>
        <v>3</v>
      </c>
      <c r="AE33">
        <f t="shared" si="17"/>
        <v>0</v>
      </c>
      <c r="AF33">
        <f t="shared" si="18"/>
        <v>14</v>
      </c>
    </row>
    <row r="34" spans="1:32">
      <c r="A34" s="1">
        <v>46108.873287037037</v>
      </c>
      <c r="B34">
        <v>480.33</v>
      </c>
      <c r="C34">
        <v>158</v>
      </c>
      <c r="D34">
        <v>11</v>
      </c>
      <c r="E34">
        <v>6</v>
      </c>
      <c r="F34">
        <v>45</v>
      </c>
      <c r="G34">
        <v>278</v>
      </c>
      <c r="H34">
        <v>31</v>
      </c>
      <c r="I34">
        <v>14</v>
      </c>
      <c r="J34">
        <v>154</v>
      </c>
      <c r="K34">
        <v>10</v>
      </c>
      <c r="L34">
        <v>3</v>
      </c>
      <c r="M34">
        <v>0</v>
      </c>
      <c r="N34">
        <v>2</v>
      </c>
      <c r="P34">
        <f t="shared" si="3"/>
        <v>168</v>
      </c>
      <c r="Q34">
        <f t="shared" si="4"/>
        <v>14</v>
      </c>
      <c r="R34">
        <f t="shared" si="5"/>
        <v>6</v>
      </c>
      <c r="S34">
        <f t="shared" si="6"/>
        <v>47</v>
      </c>
      <c r="T34">
        <f t="shared" si="7"/>
        <v>268</v>
      </c>
      <c r="U34">
        <f t="shared" si="8"/>
        <v>28</v>
      </c>
      <c r="V34">
        <f t="shared" si="9"/>
        <v>14</v>
      </c>
      <c r="W34">
        <f t="shared" si="10"/>
        <v>152</v>
      </c>
      <c r="Y34">
        <f t="shared" si="11"/>
        <v>16</v>
      </c>
      <c r="Z34">
        <f t="shared" si="12"/>
        <v>1</v>
      </c>
      <c r="AA34">
        <f t="shared" si="13"/>
        <v>2</v>
      </c>
      <c r="AB34">
        <f t="shared" si="14"/>
        <v>7</v>
      </c>
      <c r="AC34">
        <f t="shared" si="15"/>
        <v>38</v>
      </c>
      <c r="AD34">
        <f t="shared" si="16"/>
        <v>4</v>
      </c>
      <c r="AE34">
        <f t="shared" si="17"/>
        <v>1</v>
      </c>
      <c r="AF34">
        <f t="shared" si="18"/>
        <v>20</v>
      </c>
    </row>
    <row r="35" spans="1:32">
      <c r="A35" s="1">
        <v>46108.875625000001</v>
      </c>
      <c r="B35">
        <v>540.37</v>
      </c>
      <c r="C35">
        <v>173</v>
      </c>
      <c r="D35">
        <v>13</v>
      </c>
      <c r="E35">
        <v>8</v>
      </c>
      <c r="F35">
        <v>55</v>
      </c>
      <c r="G35">
        <v>310</v>
      </c>
      <c r="H35">
        <v>38</v>
      </c>
      <c r="I35">
        <v>15</v>
      </c>
      <c r="J35">
        <v>174</v>
      </c>
      <c r="K35">
        <v>13</v>
      </c>
      <c r="L35">
        <v>3</v>
      </c>
      <c r="M35">
        <v>0</v>
      </c>
      <c r="N35">
        <v>2</v>
      </c>
      <c r="P35">
        <f t="shared" si="3"/>
        <v>186</v>
      </c>
      <c r="Q35">
        <f t="shared" si="4"/>
        <v>16</v>
      </c>
      <c r="R35">
        <f t="shared" si="5"/>
        <v>8</v>
      </c>
      <c r="S35">
        <f t="shared" si="6"/>
        <v>57</v>
      </c>
      <c r="T35">
        <f t="shared" si="7"/>
        <v>297</v>
      </c>
      <c r="U35">
        <f t="shared" si="8"/>
        <v>35</v>
      </c>
      <c r="V35">
        <f t="shared" si="9"/>
        <v>15</v>
      </c>
      <c r="W35">
        <f t="shared" si="10"/>
        <v>172</v>
      </c>
      <c r="Y35">
        <f t="shared" si="11"/>
        <v>18</v>
      </c>
      <c r="Z35">
        <f t="shared" si="12"/>
        <v>2</v>
      </c>
      <c r="AA35">
        <f t="shared" si="13"/>
        <v>2</v>
      </c>
      <c r="AB35">
        <f t="shared" si="14"/>
        <v>10</v>
      </c>
      <c r="AC35">
        <f t="shared" si="15"/>
        <v>29</v>
      </c>
      <c r="AD35">
        <f t="shared" si="16"/>
        <v>7</v>
      </c>
      <c r="AE35">
        <f t="shared" si="17"/>
        <v>1</v>
      </c>
      <c r="AF35">
        <f t="shared" si="18"/>
        <v>20</v>
      </c>
    </row>
    <row r="36" spans="1:32">
      <c r="A36" s="1">
        <v>46108.877997685187</v>
      </c>
      <c r="B36">
        <v>600.41</v>
      </c>
      <c r="C36">
        <v>196</v>
      </c>
      <c r="D36">
        <v>14</v>
      </c>
      <c r="E36">
        <v>11</v>
      </c>
      <c r="F36">
        <v>62</v>
      </c>
      <c r="G36">
        <v>367</v>
      </c>
      <c r="H36">
        <v>45</v>
      </c>
      <c r="I36">
        <v>15</v>
      </c>
      <c r="J36">
        <v>195</v>
      </c>
      <c r="K36">
        <v>16</v>
      </c>
      <c r="L36">
        <v>5</v>
      </c>
      <c r="M36">
        <v>0</v>
      </c>
      <c r="N36">
        <v>2</v>
      </c>
      <c r="P36">
        <f t="shared" si="3"/>
        <v>212</v>
      </c>
      <c r="Q36">
        <f t="shared" si="4"/>
        <v>19</v>
      </c>
      <c r="R36">
        <f t="shared" si="5"/>
        <v>11</v>
      </c>
      <c r="S36">
        <f t="shared" si="6"/>
        <v>64</v>
      </c>
      <c r="T36">
        <f t="shared" si="7"/>
        <v>351</v>
      </c>
      <c r="U36">
        <f t="shared" si="8"/>
        <v>40</v>
      </c>
      <c r="V36">
        <f t="shared" si="9"/>
        <v>15</v>
      </c>
      <c r="W36">
        <f t="shared" si="10"/>
        <v>193</v>
      </c>
      <c r="Y36">
        <f t="shared" si="11"/>
        <v>26</v>
      </c>
      <c r="Z36">
        <f t="shared" si="12"/>
        <v>3</v>
      </c>
      <c r="AA36">
        <f t="shared" si="13"/>
        <v>3</v>
      </c>
      <c r="AB36">
        <f t="shared" si="14"/>
        <v>7</v>
      </c>
      <c r="AC36">
        <f t="shared" si="15"/>
        <v>54</v>
      </c>
      <c r="AD36">
        <f t="shared" si="16"/>
        <v>5</v>
      </c>
      <c r="AE36">
        <f t="shared" si="17"/>
        <v>0</v>
      </c>
      <c r="AF36">
        <f t="shared" si="18"/>
        <v>21</v>
      </c>
    </row>
    <row r="37" spans="1:32">
      <c r="A37" s="1">
        <v>46108.880312499998</v>
      </c>
      <c r="B37">
        <v>660.45</v>
      </c>
      <c r="C37">
        <v>215</v>
      </c>
      <c r="D37">
        <v>17</v>
      </c>
      <c r="E37">
        <v>12</v>
      </c>
      <c r="F37">
        <v>70</v>
      </c>
      <c r="G37">
        <v>412</v>
      </c>
      <c r="H37">
        <v>48</v>
      </c>
      <c r="I37">
        <v>16</v>
      </c>
      <c r="J37">
        <v>214</v>
      </c>
      <c r="K37">
        <v>20</v>
      </c>
      <c r="L37">
        <v>5</v>
      </c>
      <c r="M37">
        <v>0</v>
      </c>
      <c r="N37">
        <v>2</v>
      </c>
      <c r="P37">
        <f t="shared" si="3"/>
        <v>235</v>
      </c>
      <c r="Q37">
        <f t="shared" si="4"/>
        <v>22</v>
      </c>
      <c r="R37">
        <f t="shared" si="5"/>
        <v>12</v>
      </c>
      <c r="S37">
        <f t="shared" si="6"/>
        <v>72</v>
      </c>
      <c r="T37">
        <f t="shared" si="7"/>
        <v>392</v>
      </c>
      <c r="U37">
        <f t="shared" si="8"/>
        <v>43</v>
      </c>
      <c r="V37">
        <f t="shared" si="9"/>
        <v>16</v>
      </c>
      <c r="W37">
        <f t="shared" si="10"/>
        <v>212</v>
      </c>
      <c r="Y37">
        <f t="shared" si="11"/>
        <v>23</v>
      </c>
      <c r="Z37">
        <f t="shared" si="12"/>
        <v>3</v>
      </c>
      <c r="AA37">
        <f t="shared" si="13"/>
        <v>1</v>
      </c>
      <c r="AB37">
        <f t="shared" si="14"/>
        <v>8</v>
      </c>
      <c r="AC37">
        <f t="shared" si="15"/>
        <v>41</v>
      </c>
      <c r="AD37">
        <f t="shared" si="16"/>
        <v>3</v>
      </c>
      <c r="AE37">
        <f t="shared" si="17"/>
        <v>1</v>
      </c>
      <c r="AF37">
        <f t="shared" si="18"/>
        <v>19</v>
      </c>
    </row>
    <row r="38" spans="1:32">
      <c r="A38" s="1">
        <v>46108.882592592592</v>
      </c>
      <c r="B38">
        <v>720.49</v>
      </c>
      <c r="C38">
        <v>242</v>
      </c>
      <c r="D38">
        <v>21</v>
      </c>
      <c r="E38">
        <v>13</v>
      </c>
      <c r="F38">
        <v>76</v>
      </c>
      <c r="G38">
        <v>449</v>
      </c>
      <c r="H38">
        <v>52</v>
      </c>
      <c r="I38">
        <v>19</v>
      </c>
      <c r="J38">
        <v>234</v>
      </c>
      <c r="K38">
        <v>22</v>
      </c>
      <c r="L38">
        <v>5</v>
      </c>
      <c r="M38">
        <v>0</v>
      </c>
      <c r="N38">
        <v>2</v>
      </c>
      <c r="P38">
        <f t="shared" si="3"/>
        <v>264</v>
      </c>
      <c r="Q38">
        <f t="shared" si="4"/>
        <v>26</v>
      </c>
      <c r="R38">
        <f t="shared" si="5"/>
        <v>13</v>
      </c>
      <c r="S38">
        <f t="shared" si="6"/>
        <v>78</v>
      </c>
      <c r="T38">
        <f t="shared" si="7"/>
        <v>427</v>
      </c>
      <c r="U38">
        <f t="shared" si="8"/>
        <v>47</v>
      </c>
      <c r="V38">
        <f t="shared" si="9"/>
        <v>19</v>
      </c>
      <c r="W38">
        <f t="shared" si="10"/>
        <v>232</v>
      </c>
      <c r="Y38">
        <f t="shared" si="11"/>
        <v>29</v>
      </c>
      <c r="Z38">
        <f t="shared" si="12"/>
        <v>4</v>
      </c>
      <c r="AA38">
        <f t="shared" si="13"/>
        <v>1</v>
      </c>
      <c r="AB38">
        <f t="shared" si="14"/>
        <v>6</v>
      </c>
      <c r="AC38">
        <f t="shared" si="15"/>
        <v>35</v>
      </c>
      <c r="AD38">
        <f t="shared" si="16"/>
        <v>4</v>
      </c>
      <c r="AE38">
        <f t="shared" si="17"/>
        <v>3</v>
      </c>
      <c r="AF38">
        <f t="shared" si="18"/>
        <v>20</v>
      </c>
    </row>
    <row r="39" spans="1:32">
      <c r="A39" s="1">
        <v>46108.885057870371</v>
      </c>
      <c r="B39">
        <v>780.53</v>
      </c>
      <c r="C39">
        <v>263</v>
      </c>
      <c r="D39">
        <v>23</v>
      </c>
      <c r="E39">
        <v>16</v>
      </c>
      <c r="F39">
        <v>80</v>
      </c>
      <c r="G39">
        <v>480</v>
      </c>
      <c r="H39">
        <v>57</v>
      </c>
      <c r="I39">
        <v>20</v>
      </c>
      <c r="J39">
        <v>254</v>
      </c>
      <c r="K39">
        <v>24</v>
      </c>
      <c r="L39">
        <v>6</v>
      </c>
      <c r="M39">
        <v>0</v>
      </c>
      <c r="N39">
        <v>2</v>
      </c>
      <c r="P39">
        <f t="shared" si="3"/>
        <v>287</v>
      </c>
      <c r="Q39">
        <f t="shared" si="4"/>
        <v>29</v>
      </c>
      <c r="R39">
        <f t="shared" si="5"/>
        <v>16</v>
      </c>
      <c r="S39">
        <f t="shared" si="6"/>
        <v>82</v>
      </c>
      <c r="T39">
        <f t="shared" si="7"/>
        <v>456</v>
      </c>
      <c r="U39">
        <f t="shared" si="8"/>
        <v>51</v>
      </c>
      <c r="V39">
        <f t="shared" si="9"/>
        <v>20</v>
      </c>
      <c r="W39">
        <f t="shared" si="10"/>
        <v>252</v>
      </c>
      <c r="Y39">
        <f t="shared" si="11"/>
        <v>23</v>
      </c>
      <c r="Z39">
        <f t="shared" si="12"/>
        <v>3</v>
      </c>
      <c r="AA39">
        <f t="shared" si="13"/>
        <v>3</v>
      </c>
      <c r="AB39">
        <f t="shared" si="14"/>
        <v>4</v>
      </c>
      <c r="AC39">
        <f t="shared" si="15"/>
        <v>29</v>
      </c>
      <c r="AD39">
        <f t="shared" si="16"/>
        <v>4</v>
      </c>
      <c r="AE39">
        <f t="shared" si="17"/>
        <v>1</v>
      </c>
      <c r="AF39">
        <f t="shared" si="18"/>
        <v>20</v>
      </c>
    </row>
    <row r="40" spans="1:32">
      <c r="A40" s="1">
        <v>46108.971226851849</v>
      </c>
      <c r="B40">
        <v>840.57</v>
      </c>
      <c r="C40">
        <v>286</v>
      </c>
      <c r="D40">
        <v>27</v>
      </c>
      <c r="E40">
        <v>17</v>
      </c>
      <c r="F40">
        <v>87</v>
      </c>
      <c r="G40">
        <v>510</v>
      </c>
      <c r="H40">
        <v>62</v>
      </c>
      <c r="I40">
        <v>20</v>
      </c>
      <c r="J40">
        <v>264</v>
      </c>
      <c r="K40">
        <v>26</v>
      </c>
      <c r="L40">
        <v>6</v>
      </c>
      <c r="M40">
        <v>0</v>
      </c>
      <c r="N40">
        <v>2</v>
      </c>
      <c r="P40">
        <f t="shared" si="3"/>
        <v>312</v>
      </c>
      <c r="Q40">
        <f t="shared" si="4"/>
        <v>33</v>
      </c>
      <c r="R40">
        <f t="shared" si="5"/>
        <v>17</v>
      </c>
      <c r="S40">
        <f t="shared" si="6"/>
        <v>89</v>
      </c>
      <c r="T40">
        <f t="shared" si="7"/>
        <v>484</v>
      </c>
      <c r="U40">
        <f t="shared" si="8"/>
        <v>56</v>
      </c>
      <c r="V40">
        <f t="shared" si="9"/>
        <v>20</v>
      </c>
      <c r="W40">
        <f t="shared" si="10"/>
        <v>262</v>
      </c>
      <c r="Y40">
        <f t="shared" si="11"/>
        <v>25</v>
      </c>
      <c r="Z40">
        <f t="shared" si="12"/>
        <v>4</v>
      </c>
      <c r="AA40">
        <f t="shared" si="13"/>
        <v>1</v>
      </c>
      <c r="AB40">
        <f t="shared" si="14"/>
        <v>7</v>
      </c>
      <c r="AC40">
        <f t="shared" si="15"/>
        <v>28</v>
      </c>
      <c r="AD40">
        <f t="shared" si="16"/>
        <v>5</v>
      </c>
      <c r="AE40">
        <f t="shared" si="17"/>
        <v>0</v>
      </c>
      <c r="AF40">
        <f t="shared" si="18"/>
        <v>10</v>
      </c>
    </row>
    <row r="41" spans="1:32">
      <c r="A41" s="1">
        <v>46108.972662037035</v>
      </c>
      <c r="B41">
        <v>900.61</v>
      </c>
      <c r="C41">
        <v>302</v>
      </c>
      <c r="D41">
        <v>30</v>
      </c>
      <c r="E41">
        <v>17</v>
      </c>
      <c r="F41">
        <v>94</v>
      </c>
      <c r="G41">
        <v>547</v>
      </c>
      <c r="H41">
        <v>67</v>
      </c>
      <c r="I41">
        <v>20</v>
      </c>
      <c r="J41">
        <v>291</v>
      </c>
      <c r="K41">
        <v>27</v>
      </c>
      <c r="L41">
        <v>6</v>
      </c>
      <c r="M41">
        <v>0</v>
      </c>
      <c r="N41">
        <v>2</v>
      </c>
      <c r="P41">
        <f t="shared" si="3"/>
        <v>329</v>
      </c>
      <c r="Q41">
        <f t="shared" si="4"/>
        <v>36</v>
      </c>
      <c r="R41">
        <f t="shared" si="5"/>
        <v>17</v>
      </c>
      <c r="S41">
        <f t="shared" si="6"/>
        <v>96</v>
      </c>
      <c r="T41">
        <f t="shared" si="7"/>
        <v>520</v>
      </c>
      <c r="U41">
        <f t="shared" si="8"/>
        <v>61</v>
      </c>
      <c r="V41">
        <f t="shared" si="9"/>
        <v>20</v>
      </c>
      <c r="W41">
        <f t="shared" si="10"/>
        <v>289</v>
      </c>
      <c r="Y41">
        <f t="shared" si="11"/>
        <v>17</v>
      </c>
      <c r="Z41">
        <f t="shared" si="12"/>
        <v>3</v>
      </c>
      <c r="AA41">
        <f t="shared" si="13"/>
        <v>0</v>
      </c>
      <c r="AB41">
        <f t="shared" si="14"/>
        <v>7</v>
      </c>
      <c r="AC41">
        <f t="shared" si="15"/>
        <v>36</v>
      </c>
      <c r="AD41">
        <f t="shared" si="16"/>
        <v>5</v>
      </c>
      <c r="AE41">
        <f t="shared" si="17"/>
        <v>0</v>
      </c>
      <c r="AF41">
        <f t="shared" si="18"/>
        <v>27</v>
      </c>
    </row>
    <row r="42" spans="1:32">
      <c r="A42" s="1">
        <v>46108.974039351851</v>
      </c>
      <c r="B42">
        <v>960.65</v>
      </c>
      <c r="C42">
        <v>328</v>
      </c>
      <c r="D42">
        <v>32</v>
      </c>
      <c r="E42">
        <v>17</v>
      </c>
      <c r="F42">
        <v>100</v>
      </c>
      <c r="G42">
        <v>582</v>
      </c>
      <c r="H42">
        <v>69</v>
      </c>
      <c r="I42">
        <v>23</v>
      </c>
      <c r="J42">
        <v>310</v>
      </c>
      <c r="K42">
        <v>28</v>
      </c>
      <c r="L42">
        <v>6</v>
      </c>
      <c r="M42">
        <v>0</v>
      </c>
      <c r="N42">
        <v>2</v>
      </c>
      <c r="P42">
        <f t="shared" si="3"/>
        <v>356</v>
      </c>
      <c r="Q42">
        <f t="shared" si="4"/>
        <v>38</v>
      </c>
      <c r="R42">
        <f t="shared" si="5"/>
        <v>17</v>
      </c>
      <c r="S42">
        <f t="shared" si="6"/>
        <v>102</v>
      </c>
      <c r="T42">
        <f t="shared" si="7"/>
        <v>554</v>
      </c>
      <c r="U42">
        <f t="shared" si="8"/>
        <v>63</v>
      </c>
      <c r="V42">
        <f t="shared" si="9"/>
        <v>23</v>
      </c>
      <c r="W42">
        <f t="shared" si="10"/>
        <v>308</v>
      </c>
      <c r="Y42">
        <f t="shared" si="11"/>
        <v>27</v>
      </c>
      <c r="Z42">
        <f t="shared" si="12"/>
        <v>2</v>
      </c>
      <c r="AA42">
        <f t="shared" si="13"/>
        <v>0</v>
      </c>
      <c r="AB42">
        <f t="shared" si="14"/>
        <v>6</v>
      </c>
      <c r="AC42">
        <f t="shared" si="15"/>
        <v>34</v>
      </c>
      <c r="AD42">
        <f t="shared" si="16"/>
        <v>2</v>
      </c>
      <c r="AE42">
        <f t="shared" si="17"/>
        <v>3</v>
      </c>
      <c r="AF42">
        <f t="shared" si="18"/>
        <v>19</v>
      </c>
    </row>
    <row r="43" spans="1:32">
      <c r="A43" s="1">
        <v>46108.975462962961</v>
      </c>
      <c r="B43">
        <v>1020.69</v>
      </c>
      <c r="C43">
        <v>359</v>
      </c>
      <c r="D43">
        <v>34</v>
      </c>
      <c r="E43">
        <v>18</v>
      </c>
      <c r="F43">
        <v>102</v>
      </c>
      <c r="G43">
        <v>614</v>
      </c>
      <c r="H43">
        <v>77</v>
      </c>
      <c r="I43">
        <v>25</v>
      </c>
      <c r="J43">
        <v>326</v>
      </c>
      <c r="K43">
        <v>32</v>
      </c>
      <c r="L43">
        <v>7</v>
      </c>
      <c r="M43">
        <v>0</v>
      </c>
      <c r="N43">
        <v>2</v>
      </c>
      <c r="P43">
        <f t="shared" si="3"/>
        <v>391</v>
      </c>
      <c r="Q43">
        <f t="shared" si="4"/>
        <v>41</v>
      </c>
      <c r="R43">
        <f t="shared" si="5"/>
        <v>18</v>
      </c>
      <c r="S43">
        <f t="shared" si="6"/>
        <v>104</v>
      </c>
      <c r="T43">
        <f t="shared" si="7"/>
        <v>582</v>
      </c>
      <c r="U43">
        <f t="shared" si="8"/>
        <v>70</v>
      </c>
      <c r="V43">
        <f t="shared" si="9"/>
        <v>25</v>
      </c>
      <c r="W43">
        <f t="shared" si="10"/>
        <v>324</v>
      </c>
      <c r="Y43">
        <f t="shared" si="11"/>
        <v>35</v>
      </c>
      <c r="Z43">
        <f t="shared" si="12"/>
        <v>3</v>
      </c>
      <c r="AA43">
        <f t="shared" si="13"/>
        <v>1</v>
      </c>
      <c r="AB43">
        <f t="shared" si="14"/>
        <v>2</v>
      </c>
      <c r="AC43">
        <f t="shared" si="15"/>
        <v>28</v>
      </c>
      <c r="AD43">
        <f t="shared" si="16"/>
        <v>7</v>
      </c>
      <c r="AE43">
        <f t="shared" si="17"/>
        <v>2</v>
      </c>
      <c r="AF43">
        <f t="shared" si="18"/>
        <v>16</v>
      </c>
    </row>
    <row r="44" spans="1:32">
      <c r="A44" s="1">
        <v>46108.976863425924</v>
      </c>
      <c r="B44">
        <v>1080.73</v>
      </c>
      <c r="C44">
        <v>384</v>
      </c>
      <c r="D44">
        <v>36</v>
      </c>
      <c r="E44">
        <v>19</v>
      </c>
      <c r="F44">
        <v>104</v>
      </c>
      <c r="G44">
        <v>646</v>
      </c>
      <c r="H44">
        <v>77</v>
      </c>
      <c r="I44">
        <v>27</v>
      </c>
      <c r="J44">
        <v>353</v>
      </c>
      <c r="K44">
        <v>34</v>
      </c>
      <c r="L44">
        <v>7</v>
      </c>
      <c r="M44">
        <v>0</v>
      </c>
      <c r="N44">
        <v>2</v>
      </c>
      <c r="P44">
        <f t="shared" si="3"/>
        <v>418</v>
      </c>
      <c r="Q44">
        <f t="shared" si="4"/>
        <v>43</v>
      </c>
      <c r="R44">
        <f t="shared" si="5"/>
        <v>19</v>
      </c>
      <c r="S44">
        <f t="shared" si="6"/>
        <v>106</v>
      </c>
      <c r="T44">
        <f t="shared" si="7"/>
        <v>612</v>
      </c>
      <c r="U44">
        <f t="shared" si="8"/>
        <v>70</v>
      </c>
      <c r="V44">
        <f t="shared" si="9"/>
        <v>27</v>
      </c>
      <c r="W44">
        <f t="shared" si="10"/>
        <v>351</v>
      </c>
      <c r="Y44">
        <f t="shared" si="11"/>
        <v>27</v>
      </c>
      <c r="Z44">
        <f t="shared" si="12"/>
        <v>2</v>
      </c>
      <c r="AA44">
        <f t="shared" si="13"/>
        <v>1</v>
      </c>
      <c r="AB44">
        <f t="shared" si="14"/>
        <v>2</v>
      </c>
      <c r="AC44">
        <f t="shared" si="15"/>
        <v>30</v>
      </c>
      <c r="AD44">
        <f t="shared" si="16"/>
        <v>0</v>
      </c>
      <c r="AE44">
        <f t="shared" si="17"/>
        <v>2</v>
      </c>
      <c r="AF44">
        <f t="shared" si="18"/>
        <v>27</v>
      </c>
    </row>
    <row r="45" spans="1:32">
      <c r="A45" s="1">
        <v>46108.978460648148</v>
      </c>
      <c r="B45">
        <v>1140.77</v>
      </c>
      <c r="C45">
        <v>414</v>
      </c>
      <c r="D45">
        <v>36</v>
      </c>
      <c r="E45">
        <v>20</v>
      </c>
      <c r="F45">
        <v>106</v>
      </c>
      <c r="G45">
        <v>684</v>
      </c>
      <c r="H45">
        <v>88</v>
      </c>
      <c r="I45">
        <v>29</v>
      </c>
      <c r="J45">
        <v>368</v>
      </c>
      <c r="K45">
        <v>38</v>
      </c>
      <c r="L45">
        <v>9</v>
      </c>
      <c r="M45">
        <v>0</v>
      </c>
      <c r="N45">
        <v>2</v>
      </c>
      <c r="P45">
        <f t="shared" si="3"/>
        <v>452</v>
      </c>
      <c r="Q45">
        <f t="shared" si="4"/>
        <v>45</v>
      </c>
      <c r="R45">
        <f t="shared" si="5"/>
        <v>20</v>
      </c>
      <c r="S45">
        <f t="shared" si="6"/>
        <v>108</v>
      </c>
      <c r="T45">
        <f t="shared" si="7"/>
        <v>646</v>
      </c>
      <c r="U45">
        <f t="shared" si="8"/>
        <v>79</v>
      </c>
      <c r="V45">
        <f t="shared" si="9"/>
        <v>29</v>
      </c>
      <c r="W45">
        <f t="shared" si="10"/>
        <v>366</v>
      </c>
      <c r="Y45">
        <f t="shared" si="11"/>
        <v>34</v>
      </c>
      <c r="Z45">
        <f t="shared" si="12"/>
        <v>2</v>
      </c>
      <c r="AA45">
        <f t="shared" si="13"/>
        <v>1</v>
      </c>
      <c r="AB45">
        <f t="shared" si="14"/>
        <v>2</v>
      </c>
      <c r="AC45">
        <f t="shared" si="15"/>
        <v>34</v>
      </c>
      <c r="AD45">
        <f t="shared" si="16"/>
        <v>9</v>
      </c>
      <c r="AE45">
        <f t="shared" si="17"/>
        <v>2</v>
      </c>
      <c r="AF45">
        <f t="shared" si="18"/>
        <v>15</v>
      </c>
    </row>
    <row r="46" spans="1:32">
      <c r="A46" s="1">
        <v>46108.979942129627</v>
      </c>
      <c r="B46">
        <v>1200.81</v>
      </c>
      <c r="C46">
        <v>438</v>
      </c>
      <c r="D46">
        <v>37</v>
      </c>
      <c r="E46">
        <v>20</v>
      </c>
      <c r="F46">
        <v>109</v>
      </c>
      <c r="G46">
        <v>714</v>
      </c>
      <c r="H46">
        <v>94</v>
      </c>
      <c r="I46">
        <v>31</v>
      </c>
      <c r="J46">
        <v>385</v>
      </c>
      <c r="K46">
        <v>39</v>
      </c>
      <c r="L46">
        <v>9</v>
      </c>
      <c r="M46">
        <v>0</v>
      </c>
      <c r="N46">
        <v>2</v>
      </c>
      <c r="P46">
        <f t="shared" si="3"/>
        <v>477</v>
      </c>
      <c r="Q46">
        <f t="shared" si="4"/>
        <v>46</v>
      </c>
      <c r="R46">
        <f t="shared" si="5"/>
        <v>20</v>
      </c>
      <c r="S46">
        <f t="shared" si="6"/>
        <v>111</v>
      </c>
      <c r="T46">
        <f t="shared" si="7"/>
        <v>675</v>
      </c>
      <c r="U46">
        <f t="shared" si="8"/>
        <v>85</v>
      </c>
      <c r="V46">
        <f t="shared" si="9"/>
        <v>31</v>
      </c>
      <c r="W46">
        <f t="shared" si="10"/>
        <v>383</v>
      </c>
      <c r="Y46">
        <f t="shared" si="11"/>
        <v>25</v>
      </c>
      <c r="Z46">
        <f t="shared" si="12"/>
        <v>1</v>
      </c>
      <c r="AA46">
        <f t="shared" si="13"/>
        <v>0</v>
      </c>
      <c r="AB46">
        <f t="shared" si="14"/>
        <v>3</v>
      </c>
      <c r="AC46">
        <f t="shared" si="15"/>
        <v>29</v>
      </c>
      <c r="AD46">
        <f t="shared" si="16"/>
        <v>6</v>
      </c>
      <c r="AE46">
        <f t="shared" si="17"/>
        <v>2</v>
      </c>
      <c r="AF46">
        <f t="shared" si="18"/>
        <v>17</v>
      </c>
    </row>
    <row r="47" spans="1:32">
      <c r="A47" s="1">
        <v>46108.981469907405</v>
      </c>
      <c r="B47">
        <v>1260.8499999999999</v>
      </c>
      <c r="C47">
        <v>460</v>
      </c>
      <c r="D47">
        <v>41</v>
      </c>
      <c r="E47">
        <v>23</v>
      </c>
      <c r="F47">
        <v>112</v>
      </c>
      <c r="G47">
        <v>745</v>
      </c>
      <c r="H47">
        <v>100</v>
      </c>
      <c r="I47">
        <v>33</v>
      </c>
      <c r="J47">
        <v>401</v>
      </c>
      <c r="K47">
        <v>40</v>
      </c>
      <c r="L47">
        <v>9</v>
      </c>
      <c r="M47">
        <v>0</v>
      </c>
      <c r="N47">
        <v>2</v>
      </c>
      <c r="P47">
        <f t="shared" si="3"/>
        <v>500</v>
      </c>
      <c r="Q47">
        <f t="shared" si="4"/>
        <v>50</v>
      </c>
      <c r="R47">
        <f t="shared" si="5"/>
        <v>23</v>
      </c>
      <c r="S47">
        <f t="shared" si="6"/>
        <v>114</v>
      </c>
      <c r="T47">
        <f t="shared" si="7"/>
        <v>705</v>
      </c>
      <c r="U47">
        <f t="shared" si="8"/>
        <v>91</v>
      </c>
      <c r="V47">
        <f t="shared" si="9"/>
        <v>33</v>
      </c>
      <c r="W47">
        <f t="shared" si="10"/>
        <v>399</v>
      </c>
      <c r="Y47">
        <f t="shared" si="11"/>
        <v>23</v>
      </c>
      <c r="Z47">
        <f t="shared" si="12"/>
        <v>4</v>
      </c>
      <c r="AA47">
        <f t="shared" si="13"/>
        <v>3</v>
      </c>
      <c r="AB47">
        <f t="shared" si="14"/>
        <v>3</v>
      </c>
      <c r="AC47">
        <f t="shared" si="15"/>
        <v>30</v>
      </c>
      <c r="AD47">
        <f t="shared" si="16"/>
        <v>6</v>
      </c>
      <c r="AE47">
        <f t="shared" si="17"/>
        <v>2</v>
      </c>
      <c r="AF47">
        <f t="shared" si="18"/>
        <v>16</v>
      </c>
    </row>
    <row r="48" spans="1:32">
      <c r="A48" s="1">
        <v>46108.983148148145</v>
      </c>
      <c r="B48">
        <v>1320.9</v>
      </c>
      <c r="C48">
        <v>485</v>
      </c>
      <c r="D48">
        <v>43</v>
      </c>
      <c r="E48">
        <v>23</v>
      </c>
      <c r="F48">
        <v>119</v>
      </c>
      <c r="G48">
        <v>774</v>
      </c>
      <c r="H48">
        <v>101</v>
      </c>
      <c r="I48">
        <v>33</v>
      </c>
      <c r="J48">
        <v>418</v>
      </c>
      <c r="K48">
        <v>44</v>
      </c>
      <c r="L48">
        <v>10</v>
      </c>
      <c r="M48">
        <v>0</v>
      </c>
      <c r="N48">
        <v>2</v>
      </c>
      <c r="P48">
        <f t="shared" si="3"/>
        <v>529</v>
      </c>
      <c r="Q48">
        <f t="shared" si="4"/>
        <v>53</v>
      </c>
      <c r="R48">
        <f t="shared" si="5"/>
        <v>23</v>
      </c>
      <c r="S48">
        <f t="shared" si="6"/>
        <v>121</v>
      </c>
      <c r="T48">
        <f t="shared" si="7"/>
        <v>730</v>
      </c>
      <c r="U48">
        <f t="shared" si="8"/>
        <v>91</v>
      </c>
      <c r="V48">
        <f t="shared" si="9"/>
        <v>33</v>
      </c>
      <c r="W48">
        <f t="shared" si="10"/>
        <v>416</v>
      </c>
      <c r="Y48">
        <f t="shared" si="11"/>
        <v>29</v>
      </c>
      <c r="Z48">
        <f t="shared" si="12"/>
        <v>3</v>
      </c>
      <c r="AA48">
        <f t="shared" si="13"/>
        <v>0</v>
      </c>
      <c r="AB48">
        <f t="shared" si="14"/>
        <v>7</v>
      </c>
      <c r="AC48">
        <f t="shared" si="15"/>
        <v>25</v>
      </c>
      <c r="AD48">
        <f t="shared" si="16"/>
        <v>0</v>
      </c>
      <c r="AE48">
        <f t="shared" si="17"/>
        <v>0</v>
      </c>
      <c r="AF48">
        <f t="shared" si="18"/>
        <v>17</v>
      </c>
    </row>
    <row r="49" spans="1:32">
      <c r="A49" s="1">
        <v>46108.984675925924</v>
      </c>
      <c r="B49">
        <v>1380.94</v>
      </c>
      <c r="C49">
        <v>507</v>
      </c>
      <c r="D49">
        <v>44</v>
      </c>
      <c r="E49">
        <v>24</v>
      </c>
      <c r="F49">
        <v>129</v>
      </c>
      <c r="G49">
        <v>810</v>
      </c>
      <c r="H49">
        <v>104</v>
      </c>
      <c r="I49">
        <v>34</v>
      </c>
      <c r="J49">
        <v>433</v>
      </c>
      <c r="K49">
        <v>47</v>
      </c>
      <c r="L49">
        <v>10</v>
      </c>
      <c r="M49">
        <v>0</v>
      </c>
      <c r="N49">
        <v>2</v>
      </c>
      <c r="P49">
        <f t="shared" si="3"/>
        <v>554</v>
      </c>
      <c r="Q49">
        <f t="shared" si="4"/>
        <v>54</v>
      </c>
      <c r="R49">
        <f t="shared" si="5"/>
        <v>24</v>
      </c>
      <c r="S49">
        <f t="shared" si="6"/>
        <v>131</v>
      </c>
      <c r="T49">
        <f t="shared" si="7"/>
        <v>763</v>
      </c>
      <c r="U49">
        <f t="shared" si="8"/>
        <v>94</v>
      </c>
      <c r="V49">
        <f t="shared" si="9"/>
        <v>34</v>
      </c>
      <c r="W49">
        <f t="shared" si="10"/>
        <v>431</v>
      </c>
      <c r="Y49">
        <f t="shared" si="11"/>
        <v>25</v>
      </c>
      <c r="Z49">
        <f t="shared" si="12"/>
        <v>1</v>
      </c>
      <c r="AA49">
        <f t="shared" si="13"/>
        <v>1</v>
      </c>
      <c r="AB49">
        <f t="shared" si="14"/>
        <v>10</v>
      </c>
      <c r="AC49">
        <f t="shared" si="15"/>
        <v>33</v>
      </c>
      <c r="AD49">
        <f t="shared" si="16"/>
        <v>3</v>
      </c>
      <c r="AE49">
        <f t="shared" si="17"/>
        <v>1</v>
      </c>
      <c r="AF49">
        <f t="shared" si="18"/>
        <v>15</v>
      </c>
    </row>
    <row r="50" spans="1:32">
      <c r="A50" s="1">
        <v>46108.986030092594</v>
      </c>
      <c r="B50">
        <v>1440.98</v>
      </c>
      <c r="C50">
        <v>529</v>
      </c>
      <c r="D50">
        <v>45</v>
      </c>
      <c r="E50">
        <v>25</v>
      </c>
      <c r="F50">
        <v>135</v>
      </c>
      <c r="G50">
        <v>846</v>
      </c>
      <c r="H50">
        <v>107</v>
      </c>
      <c r="I50">
        <v>35</v>
      </c>
      <c r="J50">
        <v>460</v>
      </c>
      <c r="K50">
        <v>50</v>
      </c>
      <c r="L50">
        <v>10</v>
      </c>
      <c r="M50">
        <v>0</v>
      </c>
      <c r="N50">
        <v>2</v>
      </c>
      <c r="P50">
        <f t="shared" si="3"/>
        <v>579</v>
      </c>
      <c r="Q50">
        <f t="shared" si="4"/>
        <v>55</v>
      </c>
      <c r="R50">
        <f t="shared" si="5"/>
        <v>25</v>
      </c>
      <c r="S50">
        <f t="shared" si="6"/>
        <v>137</v>
      </c>
      <c r="T50">
        <f t="shared" si="7"/>
        <v>796</v>
      </c>
      <c r="U50">
        <f t="shared" si="8"/>
        <v>97</v>
      </c>
      <c r="V50">
        <f t="shared" si="9"/>
        <v>35</v>
      </c>
      <c r="W50">
        <f t="shared" si="10"/>
        <v>458</v>
      </c>
      <c r="Y50">
        <f t="shared" si="11"/>
        <v>25</v>
      </c>
      <c r="Z50">
        <f t="shared" si="12"/>
        <v>1</v>
      </c>
      <c r="AA50">
        <f t="shared" si="13"/>
        <v>1</v>
      </c>
      <c r="AB50">
        <f t="shared" si="14"/>
        <v>6</v>
      </c>
      <c r="AC50">
        <f t="shared" si="15"/>
        <v>33</v>
      </c>
      <c r="AD50">
        <f t="shared" si="16"/>
        <v>3</v>
      </c>
      <c r="AE50">
        <f t="shared" si="17"/>
        <v>1</v>
      </c>
      <c r="AF50">
        <f t="shared" si="18"/>
        <v>27</v>
      </c>
    </row>
    <row r="51" spans="1:32">
      <c r="A51" s="1">
        <v>46108.987291666665</v>
      </c>
      <c r="B51">
        <v>1501.02</v>
      </c>
      <c r="C51">
        <v>553</v>
      </c>
      <c r="D51">
        <v>47</v>
      </c>
      <c r="E51">
        <v>26</v>
      </c>
      <c r="F51">
        <v>142</v>
      </c>
      <c r="G51">
        <v>877</v>
      </c>
      <c r="H51">
        <v>112</v>
      </c>
      <c r="I51">
        <v>38</v>
      </c>
      <c r="J51">
        <v>481</v>
      </c>
      <c r="K51">
        <v>56</v>
      </c>
      <c r="L51">
        <v>11</v>
      </c>
      <c r="M51">
        <v>0</v>
      </c>
      <c r="N51">
        <v>3</v>
      </c>
      <c r="P51">
        <f t="shared" si="3"/>
        <v>609</v>
      </c>
      <c r="Q51">
        <f t="shared" si="4"/>
        <v>58</v>
      </c>
      <c r="R51">
        <f t="shared" si="5"/>
        <v>26</v>
      </c>
      <c r="S51">
        <f t="shared" si="6"/>
        <v>145</v>
      </c>
      <c r="T51">
        <f t="shared" si="7"/>
        <v>821</v>
      </c>
      <c r="U51">
        <f t="shared" si="8"/>
        <v>101</v>
      </c>
      <c r="V51">
        <f t="shared" si="9"/>
        <v>38</v>
      </c>
      <c r="W51">
        <f t="shared" si="10"/>
        <v>478</v>
      </c>
      <c r="Y51">
        <f t="shared" si="11"/>
        <v>30</v>
      </c>
      <c r="Z51">
        <f t="shared" si="12"/>
        <v>3</v>
      </c>
      <c r="AA51">
        <f t="shared" si="13"/>
        <v>1</v>
      </c>
      <c r="AB51">
        <f t="shared" si="14"/>
        <v>8</v>
      </c>
      <c r="AC51">
        <f t="shared" si="15"/>
        <v>25</v>
      </c>
      <c r="AD51">
        <f t="shared" si="16"/>
        <v>4</v>
      </c>
      <c r="AE51">
        <f t="shared" si="17"/>
        <v>3</v>
      </c>
      <c r="AF51">
        <f t="shared" si="18"/>
        <v>20</v>
      </c>
    </row>
    <row r="52" spans="1:32">
      <c r="A52" s="1">
        <v>46108.988668981481</v>
      </c>
      <c r="B52">
        <v>1561.06</v>
      </c>
      <c r="C52">
        <v>580</v>
      </c>
      <c r="D52">
        <v>49</v>
      </c>
      <c r="E52">
        <v>26</v>
      </c>
      <c r="F52">
        <v>145</v>
      </c>
      <c r="G52">
        <v>917</v>
      </c>
      <c r="H52">
        <v>114</v>
      </c>
      <c r="I52">
        <v>40</v>
      </c>
      <c r="J52">
        <v>496</v>
      </c>
      <c r="K52">
        <v>57</v>
      </c>
      <c r="L52">
        <v>11</v>
      </c>
      <c r="M52">
        <v>0</v>
      </c>
      <c r="N52">
        <v>3</v>
      </c>
      <c r="P52">
        <f t="shared" si="3"/>
        <v>637</v>
      </c>
      <c r="Q52">
        <f t="shared" si="4"/>
        <v>60</v>
      </c>
      <c r="R52">
        <f t="shared" si="5"/>
        <v>26</v>
      </c>
      <c r="S52">
        <f t="shared" si="6"/>
        <v>148</v>
      </c>
      <c r="T52">
        <f t="shared" si="7"/>
        <v>860</v>
      </c>
      <c r="U52">
        <f t="shared" si="8"/>
        <v>103</v>
      </c>
      <c r="V52">
        <f t="shared" si="9"/>
        <v>40</v>
      </c>
      <c r="W52">
        <f t="shared" si="10"/>
        <v>493</v>
      </c>
      <c r="Y52">
        <f t="shared" si="11"/>
        <v>28</v>
      </c>
      <c r="Z52">
        <f t="shared" si="12"/>
        <v>2</v>
      </c>
      <c r="AA52">
        <f t="shared" si="13"/>
        <v>0</v>
      </c>
      <c r="AB52">
        <f t="shared" si="14"/>
        <v>3</v>
      </c>
      <c r="AC52">
        <f t="shared" si="15"/>
        <v>39</v>
      </c>
      <c r="AD52">
        <f t="shared" si="16"/>
        <v>2</v>
      </c>
      <c r="AE52">
        <f t="shared" si="17"/>
        <v>2</v>
      </c>
      <c r="AF52">
        <f t="shared" si="18"/>
        <v>15</v>
      </c>
    </row>
    <row r="53" spans="1:32">
      <c r="A53" s="1">
        <v>46108.99</v>
      </c>
      <c r="B53">
        <v>1621.1</v>
      </c>
      <c r="C53">
        <v>591</v>
      </c>
      <c r="D53">
        <v>52</v>
      </c>
      <c r="E53">
        <v>26</v>
      </c>
      <c r="F53">
        <v>147</v>
      </c>
      <c r="G53">
        <v>943</v>
      </c>
      <c r="H53">
        <v>121</v>
      </c>
      <c r="I53">
        <v>40</v>
      </c>
      <c r="J53">
        <v>514</v>
      </c>
      <c r="K53">
        <v>58</v>
      </c>
      <c r="L53">
        <v>11</v>
      </c>
      <c r="M53">
        <v>0</v>
      </c>
      <c r="N53">
        <v>3</v>
      </c>
      <c r="P53">
        <f t="shared" si="3"/>
        <v>649</v>
      </c>
      <c r="Q53">
        <f t="shared" si="4"/>
        <v>63</v>
      </c>
      <c r="R53">
        <f t="shared" si="5"/>
        <v>26</v>
      </c>
      <c r="S53">
        <f t="shared" si="6"/>
        <v>150</v>
      </c>
      <c r="T53">
        <f t="shared" si="7"/>
        <v>885</v>
      </c>
      <c r="U53">
        <f t="shared" si="8"/>
        <v>110</v>
      </c>
      <c r="V53">
        <f t="shared" si="9"/>
        <v>40</v>
      </c>
      <c r="W53">
        <f t="shared" si="10"/>
        <v>511</v>
      </c>
      <c r="Y53">
        <f t="shared" si="11"/>
        <v>12</v>
      </c>
      <c r="Z53">
        <f t="shared" si="12"/>
        <v>3</v>
      </c>
      <c r="AA53">
        <f t="shared" si="13"/>
        <v>0</v>
      </c>
      <c r="AB53">
        <f t="shared" si="14"/>
        <v>2</v>
      </c>
      <c r="AC53">
        <f t="shared" si="15"/>
        <v>25</v>
      </c>
      <c r="AD53">
        <f t="shared" si="16"/>
        <v>7</v>
      </c>
      <c r="AE53">
        <f t="shared" si="17"/>
        <v>0</v>
      </c>
      <c r="AF53">
        <f t="shared" si="18"/>
        <v>18</v>
      </c>
    </row>
    <row r="54" spans="1:32">
      <c r="A54" s="1">
        <v>46108.991365740738</v>
      </c>
      <c r="B54">
        <v>1681.14</v>
      </c>
      <c r="C54">
        <v>617</v>
      </c>
      <c r="D54">
        <v>52</v>
      </c>
      <c r="E54">
        <v>27</v>
      </c>
      <c r="F54">
        <v>152</v>
      </c>
      <c r="G54">
        <v>985</v>
      </c>
      <c r="H54">
        <v>127</v>
      </c>
      <c r="I54">
        <v>42</v>
      </c>
      <c r="J54">
        <v>526</v>
      </c>
      <c r="K54">
        <v>58</v>
      </c>
      <c r="L54">
        <v>11</v>
      </c>
      <c r="M54">
        <v>0</v>
      </c>
      <c r="N54">
        <v>3</v>
      </c>
      <c r="P54">
        <f t="shared" si="3"/>
        <v>675</v>
      </c>
      <c r="Q54">
        <f t="shared" si="4"/>
        <v>63</v>
      </c>
      <c r="R54">
        <f t="shared" si="5"/>
        <v>27</v>
      </c>
      <c r="S54">
        <f t="shared" si="6"/>
        <v>155</v>
      </c>
      <c r="T54">
        <f t="shared" si="7"/>
        <v>927</v>
      </c>
      <c r="U54">
        <f t="shared" si="8"/>
        <v>116</v>
      </c>
      <c r="V54">
        <f t="shared" si="9"/>
        <v>42</v>
      </c>
      <c r="W54">
        <f t="shared" si="10"/>
        <v>523</v>
      </c>
      <c r="Y54">
        <f t="shared" si="11"/>
        <v>26</v>
      </c>
      <c r="Z54">
        <f t="shared" si="12"/>
        <v>0</v>
      </c>
      <c r="AA54">
        <f t="shared" si="13"/>
        <v>1</v>
      </c>
      <c r="AB54">
        <f t="shared" si="14"/>
        <v>5</v>
      </c>
      <c r="AC54">
        <f t="shared" si="15"/>
        <v>42</v>
      </c>
      <c r="AD54">
        <f t="shared" si="16"/>
        <v>6</v>
      </c>
      <c r="AE54">
        <f t="shared" si="17"/>
        <v>2</v>
      </c>
      <c r="AF54">
        <f t="shared" si="18"/>
        <v>12</v>
      </c>
    </row>
    <row r="55" spans="1:32">
      <c r="A55" s="1">
        <v>46108.992766203701</v>
      </c>
      <c r="B55">
        <v>1741.18</v>
      </c>
      <c r="C55">
        <v>637</v>
      </c>
      <c r="D55">
        <v>55</v>
      </c>
      <c r="E55">
        <v>27</v>
      </c>
      <c r="F55">
        <v>157</v>
      </c>
      <c r="G55">
        <v>1007</v>
      </c>
      <c r="H55">
        <v>129</v>
      </c>
      <c r="I55">
        <v>42</v>
      </c>
      <c r="J55">
        <v>538</v>
      </c>
      <c r="K55">
        <v>60</v>
      </c>
      <c r="L55">
        <v>11</v>
      </c>
      <c r="M55">
        <v>0</v>
      </c>
      <c r="N55">
        <v>3</v>
      </c>
      <c r="P55">
        <f t="shared" si="3"/>
        <v>697</v>
      </c>
      <c r="Q55">
        <f t="shared" si="4"/>
        <v>66</v>
      </c>
      <c r="R55">
        <f t="shared" si="5"/>
        <v>27</v>
      </c>
      <c r="S55">
        <f t="shared" si="6"/>
        <v>160</v>
      </c>
      <c r="T55">
        <f t="shared" si="7"/>
        <v>947</v>
      </c>
      <c r="U55">
        <f t="shared" si="8"/>
        <v>118</v>
      </c>
      <c r="V55">
        <f t="shared" si="9"/>
        <v>42</v>
      </c>
      <c r="W55">
        <f t="shared" si="10"/>
        <v>535</v>
      </c>
      <c r="Y55">
        <f t="shared" si="11"/>
        <v>22</v>
      </c>
      <c r="Z55">
        <f t="shared" si="12"/>
        <v>3</v>
      </c>
      <c r="AA55">
        <f t="shared" si="13"/>
        <v>0</v>
      </c>
      <c r="AB55">
        <f t="shared" si="14"/>
        <v>5</v>
      </c>
      <c r="AC55">
        <f t="shared" si="15"/>
        <v>20</v>
      </c>
      <c r="AD55">
        <f t="shared" si="16"/>
        <v>2</v>
      </c>
      <c r="AE55">
        <f t="shared" si="17"/>
        <v>0</v>
      </c>
      <c r="AF55">
        <f t="shared" si="18"/>
        <v>12</v>
      </c>
    </row>
    <row r="56" spans="1:32">
      <c r="A56" s="1">
        <v>46108.994131944448</v>
      </c>
      <c r="B56">
        <v>1801.22</v>
      </c>
      <c r="C56">
        <v>654</v>
      </c>
      <c r="D56">
        <v>57</v>
      </c>
      <c r="E56">
        <v>28</v>
      </c>
      <c r="F56">
        <v>164</v>
      </c>
      <c r="G56">
        <v>1034</v>
      </c>
      <c r="H56">
        <v>135</v>
      </c>
      <c r="I56">
        <v>44</v>
      </c>
      <c r="J56">
        <v>550</v>
      </c>
      <c r="K56">
        <v>60</v>
      </c>
      <c r="L56">
        <v>11</v>
      </c>
      <c r="M56">
        <v>0</v>
      </c>
      <c r="N56">
        <v>3</v>
      </c>
      <c r="P56">
        <f t="shared" si="3"/>
        <v>714</v>
      </c>
      <c r="Q56">
        <f t="shared" si="4"/>
        <v>68</v>
      </c>
      <c r="R56">
        <f t="shared" si="5"/>
        <v>28</v>
      </c>
      <c r="S56">
        <f t="shared" si="6"/>
        <v>167</v>
      </c>
      <c r="T56">
        <f t="shared" si="7"/>
        <v>974</v>
      </c>
      <c r="U56">
        <f t="shared" si="8"/>
        <v>124</v>
      </c>
      <c r="V56">
        <f t="shared" si="9"/>
        <v>44</v>
      </c>
      <c r="W56">
        <f t="shared" si="10"/>
        <v>547</v>
      </c>
      <c r="Y56">
        <f t="shared" si="11"/>
        <v>17</v>
      </c>
      <c r="Z56">
        <f t="shared" si="12"/>
        <v>2</v>
      </c>
      <c r="AA56">
        <f t="shared" si="13"/>
        <v>1</v>
      </c>
      <c r="AB56">
        <f t="shared" si="14"/>
        <v>7</v>
      </c>
      <c r="AC56">
        <f t="shared" si="15"/>
        <v>27</v>
      </c>
      <c r="AD56">
        <f t="shared" si="16"/>
        <v>6</v>
      </c>
      <c r="AE56">
        <f t="shared" si="17"/>
        <v>2</v>
      </c>
      <c r="AF56">
        <f t="shared" si="18"/>
        <v>12</v>
      </c>
    </row>
    <row r="57" spans="1:32">
      <c r="A57" s="1">
        <v>46108.995486111111</v>
      </c>
      <c r="B57">
        <v>1861.26</v>
      </c>
      <c r="C57">
        <v>678</v>
      </c>
      <c r="D57">
        <v>60</v>
      </c>
      <c r="E57">
        <v>28</v>
      </c>
      <c r="F57">
        <v>170</v>
      </c>
      <c r="G57">
        <v>1072</v>
      </c>
      <c r="H57">
        <v>138</v>
      </c>
      <c r="I57">
        <v>48</v>
      </c>
      <c r="J57">
        <v>568</v>
      </c>
      <c r="K57">
        <v>61</v>
      </c>
      <c r="L57">
        <v>13</v>
      </c>
      <c r="M57">
        <v>0</v>
      </c>
      <c r="N57">
        <v>3</v>
      </c>
      <c r="P57">
        <f t="shared" si="3"/>
        <v>739</v>
      </c>
      <c r="Q57">
        <f t="shared" si="4"/>
        <v>73</v>
      </c>
      <c r="R57">
        <f t="shared" si="5"/>
        <v>28</v>
      </c>
      <c r="S57">
        <f t="shared" si="6"/>
        <v>173</v>
      </c>
      <c r="T57">
        <f t="shared" si="7"/>
        <v>1011</v>
      </c>
      <c r="U57">
        <f t="shared" si="8"/>
        <v>125</v>
      </c>
      <c r="V57">
        <f t="shared" si="9"/>
        <v>48</v>
      </c>
      <c r="W57">
        <f t="shared" si="10"/>
        <v>565</v>
      </c>
      <c r="Y57">
        <f t="shared" si="11"/>
        <v>25</v>
      </c>
      <c r="Z57">
        <f t="shared" si="12"/>
        <v>5</v>
      </c>
      <c r="AA57">
        <f t="shared" si="13"/>
        <v>0</v>
      </c>
      <c r="AB57">
        <f t="shared" si="14"/>
        <v>6</v>
      </c>
      <c r="AC57">
        <f t="shared" si="15"/>
        <v>37</v>
      </c>
      <c r="AD57">
        <f t="shared" si="16"/>
        <v>1</v>
      </c>
      <c r="AE57">
        <f t="shared" si="17"/>
        <v>4</v>
      </c>
      <c r="AF57">
        <f t="shared" si="18"/>
        <v>18</v>
      </c>
    </row>
    <row r="58" spans="1:32">
      <c r="A58" s="1">
        <v>46108.996840277781</v>
      </c>
      <c r="B58">
        <v>1921.3</v>
      </c>
      <c r="C58">
        <v>708</v>
      </c>
      <c r="D58">
        <v>62</v>
      </c>
      <c r="E58">
        <v>28</v>
      </c>
      <c r="F58">
        <v>173</v>
      </c>
      <c r="G58">
        <v>1101</v>
      </c>
      <c r="H58">
        <v>145</v>
      </c>
      <c r="I58">
        <v>50</v>
      </c>
      <c r="J58">
        <v>585</v>
      </c>
      <c r="K58">
        <v>65</v>
      </c>
      <c r="L58">
        <v>14</v>
      </c>
      <c r="M58">
        <v>0</v>
      </c>
      <c r="N58">
        <v>3</v>
      </c>
      <c r="P58">
        <f t="shared" si="3"/>
        <v>773</v>
      </c>
      <c r="Q58">
        <f t="shared" si="4"/>
        <v>76</v>
      </c>
      <c r="R58">
        <f t="shared" si="5"/>
        <v>28</v>
      </c>
      <c r="S58">
        <f t="shared" si="6"/>
        <v>176</v>
      </c>
      <c r="T58">
        <f t="shared" si="7"/>
        <v>1036</v>
      </c>
      <c r="U58">
        <f t="shared" si="8"/>
        <v>131</v>
      </c>
      <c r="V58">
        <f t="shared" si="9"/>
        <v>50</v>
      </c>
      <c r="W58">
        <f t="shared" si="10"/>
        <v>582</v>
      </c>
      <c r="Y58">
        <f t="shared" si="11"/>
        <v>34</v>
      </c>
      <c r="Z58">
        <f t="shared" si="12"/>
        <v>3</v>
      </c>
      <c r="AA58">
        <f t="shared" si="13"/>
        <v>0</v>
      </c>
      <c r="AB58">
        <f t="shared" si="14"/>
        <v>3</v>
      </c>
      <c r="AC58">
        <f t="shared" si="15"/>
        <v>25</v>
      </c>
      <c r="AD58">
        <f t="shared" si="16"/>
        <v>6</v>
      </c>
      <c r="AE58">
        <f t="shared" si="17"/>
        <v>2</v>
      </c>
      <c r="AF58">
        <f t="shared" si="18"/>
        <v>17</v>
      </c>
    </row>
    <row r="59" spans="1:32">
      <c r="A59" s="1">
        <v>46108.998229166667</v>
      </c>
      <c r="B59">
        <v>1981.34</v>
      </c>
      <c r="C59">
        <v>722</v>
      </c>
      <c r="D59">
        <v>65</v>
      </c>
      <c r="E59">
        <v>30</v>
      </c>
      <c r="F59">
        <v>182</v>
      </c>
      <c r="G59">
        <v>1138</v>
      </c>
      <c r="H59">
        <v>151</v>
      </c>
      <c r="I59">
        <v>52</v>
      </c>
      <c r="J59">
        <v>598</v>
      </c>
      <c r="K59">
        <v>69</v>
      </c>
      <c r="L59">
        <v>17</v>
      </c>
      <c r="M59">
        <v>0</v>
      </c>
      <c r="N59">
        <v>3</v>
      </c>
      <c r="P59">
        <f t="shared" si="3"/>
        <v>791</v>
      </c>
      <c r="Q59">
        <f t="shared" si="4"/>
        <v>82</v>
      </c>
      <c r="R59">
        <f t="shared" si="5"/>
        <v>30</v>
      </c>
      <c r="S59">
        <f t="shared" si="6"/>
        <v>185</v>
      </c>
      <c r="T59">
        <f t="shared" si="7"/>
        <v>1069</v>
      </c>
      <c r="U59">
        <f t="shared" si="8"/>
        <v>134</v>
      </c>
      <c r="V59">
        <f t="shared" si="9"/>
        <v>52</v>
      </c>
      <c r="W59">
        <f t="shared" si="10"/>
        <v>595</v>
      </c>
      <c r="Y59">
        <f t="shared" si="11"/>
        <v>18</v>
      </c>
      <c r="Z59">
        <f t="shared" si="12"/>
        <v>6</v>
      </c>
      <c r="AA59">
        <f t="shared" si="13"/>
        <v>2</v>
      </c>
      <c r="AB59">
        <f t="shared" si="14"/>
        <v>9</v>
      </c>
      <c r="AC59">
        <f t="shared" si="15"/>
        <v>33</v>
      </c>
      <c r="AD59">
        <f t="shared" si="16"/>
        <v>3</v>
      </c>
      <c r="AE59">
        <f t="shared" si="17"/>
        <v>2</v>
      </c>
      <c r="AF59">
        <f t="shared" si="18"/>
        <v>13</v>
      </c>
    </row>
    <row r="60" spans="1:32">
      <c r="A60" s="1">
        <v>46108.999594907407</v>
      </c>
      <c r="B60">
        <v>2039.97</v>
      </c>
      <c r="C60">
        <v>743</v>
      </c>
      <c r="D60">
        <v>67</v>
      </c>
      <c r="E60">
        <v>32</v>
      </c>
      <c r="F60">
        <v>189</v>
      </c>
      <c r="G60">
        <v>1171</v>
      </c>
      <c r="H60">
        <v>154</v>
      </c>
      <c r="I60">
        <v>54</v>
      </c>
      <c r="J60">
        <v>615</v>
      </c>
      <c r="K60">
        <v>73</v>
      </c>
      <c r="L60">
        <v>17</v>
      </c>
      <c r="M60">
        <v>0</v>
      </c>
      <c r="N60">
        <v>3</v>
      </c>
      <c r="P60">
        <f t="shared" si="3"/>
        <v>816</v>
      </c>
      <c r="Q60">
        <f t="shared" si="4"/>
        <v>84</v>
      </c>
      <c r="R60">
        <f t="shared" si="5"/>
        <v>32</v>
      </c>
      <c r="S60">
        <f t="shared" si="6"/>
        <v>192</v>
      </c>
      <c r="T60">
        <f t="shared" si="7"/>
        <v>1098</v>
      </c>
      <c r="U60">
        <f t="shared" si="8"/>
        <v>137</v>
      </c>
      <c r="V60">
        <f t="shared" si="9"/>
        <v>54</v>
      </c>
      <c r="W60">
        <f t="shared" si="10"/>
        <v>612</v>
      </c>
      <c r="Y60">
        <f t="shared" si="11"/>
        <v>25</v>
      </c>
      <c r="Z60">
        <f t="shared" si="12"/>
        <v>2</v>
      </c>
      <c r="AA60">
        <f t="shared" si="13"/>
        <v>2</v>
      </c>
      <c r="AB60">
        <f t="shared" si="14"/>
        <v>7</v>
      </c>
      <c r="AC60">
        <f t="shared" si="15"/>
        <v>29</v>
      </c>
      <c r="AD60">
        <f t="shared" si="16"/>
        <v>3</v>
      </c>
      <c r="AE60">
        <f t="shared" si="17"/>
        <v>2</v>
      </c>
      <c r="AF60">
        <f t="shared" si="18"/>
        <v>17</v>
      </c>
    </row>
    <row r="62" spans="1:32">
      <c r="A62" s="1">
        <v>46110.756712962961</v>
      </c>
      <c r="B62">
        <v>60.04</v>
      </c>
      <c r="C62">
        <v>21</v>
      </c>
      <c r="D62">
        <v>1</v>
      </c>
      <c r="E62">
        <v>1</v>
      </c>
      <c r="F62">
        <v>5</v>
      </c>
      <c r="G62">
        <v>41</v>
      </c>
      <c r="H62">
        <v>11</v>
      </c>
      <c r="I62">
        <v>1</v>
      </c>
      <c r="J62">
        <v>22</v>
      </c>
      <c r="K62">
        <v>2</v>
      </c>
      <c r="L62">
        <v>0</v>
      </c>
      <c r="M62">
        <v>0</v>
      </c>
      <c r="N62">
        <v>1</v>
      </c>
      <c r="P62">
        <f t="shared" ref="P61:P63" si="19">C62+K62</f>
        <v>23</v>
      </c>
      <c r="Q62">
        <f t="shared" ref="Q61:Q63" si="20">D62+L62</f>
        <v>1</v>
      </c>
      <c r="R62">
        <f t="shared" ref="R61:R63" si="21">E62+M62</f>
        <v>1</v>
      </c>
      <c r="S62">
        <f t="shared" ref="S61:S63" si="22">F62+N62</f>
        <v>6</v>
      </c>
      <c r="T62">
        <f t="shared" ref="T61:T63" si="23">G62-K62</f>
        <v>39</v>
      </c>
      <c r="U62">
        <f t="shared" ref="U61:U63" si="24">H62-L62</f>
        <v>11</v>
      </c>
      <c r="V62">
        <f t="shared" ref="V61:V63" si="25">I62-M62</f>
        <v>1</v>
      </c>
      <c r="W62">
        <f t="shared" ref="W61:W63" si="26">J62-N62</f>
        <v>21</v>
      </c>
      <c r="Y62">
        <f t="shared" ref="Y61:Y63" si="27">P62-P61</f>
        <v>23</v>
      </c>
      <c r="Z62">
        <f t="shared" ref="Z61:Z63" si="28">Q62-Q61</f>
        <v>1</v>
      </c>
      <c r="AA62">
        <f t="shared" ref="AA61:AA63" si="29">R62-R61</f>
        <v>1</v>
      </c>
      <c r="AB62">
        <f t="shared" ref="AB61:AB63" si="30">S62-S61</f>
        <v>6</v>
      </c>
      <c r="AC62">
        <f t="shared" ref="AC61:AC63" si="31">T62-T61</f>
        <v>39</v>
      </c>
      <c r="AD62">
        <f t="shared" ref="AD61:AD63" si="32">U62-U61</f>
        <v>11</v>
      </c>
      <c r="AE62">
        <f t="shared" ref="AE61:AE63" si="33">V62-V61</f>
        <v>1</v>
      </c>
      <c r="AF62">
        <f t="shared" ref="AF61:AF63" si="34">W62-W61</f>
        <v>21</v>
      </c>
    </row>
    <row r="63" spans="1:32">
      <c r="A63" s="1">
        <v>46110.757905092592</v>
      </c>
      <c r="B63">
        <v>120.08</v>
      </c>
      <c r="C63">
        <v>39</v>
      </c>
      <c r="D63">
        <v>3</v>
      </c>
      <c r="E63">
        <v>1</v>
      </c>
      <c r="F63">
        <v>10</v>
      </c>
      <c r="G63">
        <v>82</v>
      </c>
      <c r="H63">
        <v>21</v>
      </c>
      <c r="I63">
        <v>6</v>
      </c>
      <c r="J63">
        <v>37</v>
      </c>
      <c r="K63">
        <v>6</v>
      </c>
      <c r="L63">
        <v>3</v>
      </c>
      <c r="M63">
        <v>0</v>
      </c>
      <c r="N63">
        <v>1</v>
      </c>
      <c r="P63">
        <f t="shared" si="19"/>
        <v>45</v>
      </c>
      <c r="Q63">
        <f t="shared" si="20"/>
        <v>6</v>
      </c>
      <c r="R63">
        <f t="shared" si="21"/>
        <v>1</v>
      </c>
      <c r="S63">
        <f t="shared" si="22"/>
        <v>11</v>
      </c>
      <c r="T63">
        <f t="shared" si="23"/>
        <v>76</v>
      </c>
      <c r="U63">
        <f t="shared" si="24"/>
        <v>18</v>
      </c>
      <c r="V63">
        <f t="shared" si="25"/>
        <v>6</v>
      </c>
      <c r="W63">
        <f t="shared" si="26"/>
        <v>36</v>
      </c>
      <c r="Y63">
        <f t="shared" si="27"/>
        <v>22</v>
      </c>
      <c r="Z63">
        <f t="shared" si="28"/>
        <v>5</v>
      </c>
      <c r="AA63">
        <f t="shared" si="29"/>
        <v>0</v>
      </c>
      <c r="AB63">
        <f t="shared" si="30"/>
        <v>5</v>
      </c>
      <c r="AC63">
        <f t="shared" si="31"/>
        <v>37</v>
      </c>
      <c r="AD63">
        <f t="shared" si="32"/>
        <v>7</v>
      </c>
      <c r="AE63">
        <f t="shared" si="33"/>
        <v>5</v>
      </c>
      <c r="AF63">
        <f t="shared" si="34"/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NB012</dc:creator>
  <cp:keywords/>
  <dc:description/>
  <cp:lastModifiedBy>Leong Sio Kuan</cp:lastModifiedBy>
  <cp:revision/>
  <dcterms:created xsi:type="dcterms:W3CDTF">2026-03-27T16:00:37Z</dcterms:created>
  <dcterms:modified xsi:type="dcterms:W3CDTF">2026-03-30T19:34:03Z</dcterms:modified>
  <cp:category/>
  <cp:contentStatus/>
</cp:coreProperties>
</file>